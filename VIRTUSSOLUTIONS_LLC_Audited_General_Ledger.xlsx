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80" yWindow="2200" windowWidth="28040" windowHeight="17440" tabRatio="600" firstSheet="0" activeTab="0" autoFilterDateGrouping="1"/>
  </bookViews>
  <sheets>
    <sheet xmlns:r="http://schemas.openxmlformats.org/officeDocument/2006/relationships" name="Audit &amp; Discrepancies" sheetId="1" state="visible" r:id="rId1"/>
    <sheet xmlns:r="http://schemas.openxmlformats.org/officeDocument/2006/relationships" name="Sheet1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$#,##0.00;($#,##0.00);&quot;-&quot;"/>
  </numFmts>
  <fonts count="21">
    <font>
      <name val="Calibri"/>
      <family val="2"/>
      <color theme="1"/>
      <sz val="12"/>
      <scheme val="minor"/>
    </font>
    <font>
      <name val="Arial"/>
      <family val="2"/>
      <color theme="1"/>
      <sz val="10"/>
    </font>
    <font>
      <name val="Calibri"/>
      <family val="2"/>
      <b val="1"/>
      <color theme="1"/>
      <sz val="12"/>
      <scheme val="minor"/>
    </font>
    <font>
      <name val="Arial"/>
      <family val="2"/>
      <color theme="1"/>
      <sz val="8"/>
    </font>
    <font>
      <name val="Arial"/>
      <family val="2"/>
      <b val="1"/>
      <color theme="1"/>
      <sz val="8"/>
    </font>
    <font>
      <name val="Arial"/>
      <family val="2"/>
      <b val="1"/>
      <color theme="1"/>
      <sz val="10"/>
    </font>
    <font>
      <name val="Arial"/>
      <family val="2"/>
      <b val="1"/>
      <color theme="1"/>
      <sz val="12"/>
    </font>
    <font>
      <name val="Arial"/>
      <family val="2"/>
      <b val="1"/>
      <color theme="1"/>
      <sz val="14"/>
    </font>
    <font>
      <name val="Arial"/>
      <family val="2"/>
      <b val="1"/>
      <color theme="1"/>
      <sz val="9"/>
    </font>
    <font>
      <name val="Arial"/>
      <b val="1"/>
      <color rgb="00FFFFFF"/>
      <sz val="10"/>
    </font>
    <font>
      <name val="Arial"/>
      <color rgb="00155724"/>
      <sz val="9"/>
    </font>
    <font>
      <name val="Arial"/>
      <sz val="9"/>
    </font>
    <font>
      <name val="Arial"/>
      <b val="1"/>
      <color rgb="000C5460"/>
      <sz val="9"/>
    </font>
    <font>
      <name val="Arial"/>
      <b val="1"/>
      <color rgb="00721C24"/>
      <sz val="9"/>
    </font>
    <font>
      <name val="Arial"/>
      <b val="1"/>
      <color rgb="00856404"/>
      <sz val="9"/>
    </font>
    <font>
      <name val="Arial"/>
      <b val="1"/>
      <color rgb="001F4E79"/>
      <sz val="14"/>
    </font>
    <font>
      <name val="Arial"/>
      <i val="1"/>
      <color rgb="00595959"/>
      <sz val="10"/>
    </font>
    <font>
      <name val="Arial"/>
      <b val="1"/>
      <color rgb="00856404"/>
      <sz val="16"/>
    </font>
    <font>
      <name val="Arial"/>
      <b val="1"/>
      <color rgb="000C5460"/>
      <sz val="16"/>
    </font>
    <font>
      <name val="Arial"/>
      <b val="1"/>
      <color rgb="00721C24"/>
      <sz val="16"/>
    </font>
    <font>
      <name val="Arial"/>
      <b val="1"/>
      <sz val="9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8F8F5"/>
        <bgColor rgb="00E8F8F5"/>
      </patternFill>
    </fill>
    <fill>
      <patternFill patternType="solid">
        <fgColor rgb="00D1ECF1"/>
        <bgColor rgb="00D1ECF1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9">
    <xf numFmtId="0" fontId="0" fillId="0" borderId="0"/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0" fontId="2" fillId="0" borderId="1"/>
    <xf numFmtId="0" fontId="2" fillId="0" borderId="0"/>
    <xf numFmtId="0" fontId="2" fillId="0" borderId="2"/>
  </cellStyleXfs>
  <cellXfs count="76">
    <xf numFmtId="0" fontId="0" fillId="0" borderId="0" pivotButton="0" quotePrefix="0" xfId="0"/>
    <xf numFmtId="0" fontId="2" fillId="0" borderId="0" pivotButton="0" quotePrefix="0" xfId="0"/>
    <xf numFmtId="0" fontId="7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3" fillId="0" borderId="0" pivotButton="0" quotePrefix="0" xfId="0"/>
    <xf numFmtId="4" fontId="0" fillId="0" borderId="0" pivotButton="0" quotePrefix="0" xfId="0"/>
    <xf numFmtId="4" fontId="3" fillId="0" borderId="0" pivotButton="0" quotePrefix="0" xfId="0"/>
    <xf numFmtId="0" fontId="2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164" fontId="0" fillId="0" borderId="0" pivotButton="0" quotePrefix="0" xfId="0"/>
    <xf numFmtId="164" fontId="2" fillId="0" borderId="0" pivotButton="0" quotePrefix="0" xfId="0"/>
    <xf numFmtId="164" fontId="2" fillId="0" borderId="2" pivotButton="0" quotePrefix="0" xfId="0"/>
    <xf numFmtId="164" fontId="4" fillId="0" borderId="2" pivotButton="0" quotePrefix="0" xfId="0"/>
    <xf numFmtId="0" fontId="2" fillId="0" borderId="2" pivotButton="0" quotePrefix="0" xfId="0"/>
    <xf numFmtId="0" fontId="4" fillId="0" borderId="2" pivotButton="0" quotePrefix="0" xfId="0"/>
    <xf numFmtId="0" fontId="0" fillId="0" borderId="0" applyAlignment="1" pivotButton="0" quotePrefix="0" xfId="0">
      <alignment horizontal="left" indent="1"/>
    </xf>
    <xf numFmtId="0" fontId="3" fillId="0" borderId="0" applyAlignment="1" pivotButton="0" quotePrefix="0" xfId="0">
      <alignment horizontal="left" indent="1"/>
    </xf>
    <xf numFmtId="164" fontId="3" fillId="0" borderId="0" pivotButton="0" quotePrefix="0" xfId="0"/>
    <xf numFmtId="0" fontId="2" fillId="0" borderId="0" applyAlignment="1" pivotButton="0" quotePrefix="0" xfId="0">
      <alignment horizontal="left" indent="1"/>
    </xf>
    <xf numFmtId="0" fontId="4" fillId="0" borderId="0" applyAlignment="1" pivotButton="0" quotePrefix="0" xfId="0">
      <alignment horizontal="left" indent="1"/>
    </xf>
    <xf numFmtId="0" fontId="2" fillId="0" borderId="1" pivotButton="0" quotePrefix="0" xfId="20"/>
    <xf numFmtId="0" fontId="8" fillId="0" borderId="1" pivotButton="0" quotePrefix="0" xfId="20"/>
    <xf numFmtId="0" fontId="8" fillId="0" borderId="1" applyAlignment="1" pivotButton="0" quotePrefix="0" xfId="20">
      <alignment wrapText="1"/>
    </xf>
    <xf numFmtId="0" fontId="3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8" fillId="0" borderId="1" applyAlignment="1" pivotButton="0" quotePrefix="0" xfId="20">
      <alignment horizontal="center" wrapText="1"/>
    </xf>
    <xf numFmtId="4" fontId="3" fillId="0" borderId="0" applyAlignment="1" pivotButton="0" quotePrefix="0" xfId="0">
      <alignment wrapText="1"/>
    </xf>
    <xf numFmtId="164" fontId="4" fillId="0" borderId="2" applyAlignment="1" pivotButton="0" quotePrefix="0" xfId="0">
      <alignment wrapText="1"/>
    </xf>
    <xf numFmtId="0" fontId="4" fillId="0" borderId="2" applyAlignment="1" pivotButton="0" quotePrefix="0" xfId="0">
      <alignment wrapText="1"/>
    </xf>
    <xf numFmtId="164" fontId="3" fillId="0" borderId="0" applyAlignment="1" pivotButton="0" quotePrefix="0" xfId="0">
      <alignment wrapText="1"/>
    </xf>
    <xf numFmtId="0" fontId="7" fillId="0" borderId="0" applyAlignment="1" pivotButton="0" quotePrefix="0" xfId="0">
      <alignment horizontal="center" wrapText="1"/>
    </xf>
    <xf numFmtId="0" fontId="6" fillId="0" borderId="0" applyAlignment="1" pivotButton="0" quotePrefix="0" xfId="0">
      <alignment horizontal="center" wrapText="1"/>
    </xf>
    <xf numFmtId="0" fontId="5" fillId="0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left" wrapText="1"/>
    </xf>
    <xf numFmtId="0" fontId="4" fillId="0" borderId="0" applyAlignment="1" pivotButton="0" quotePrefix="0" xfId="0">
      <alignment horizontal="left" wrapText="1"/>
    </xf>
    <xf numFmtId="0" fontId="3" fillId="0" borderId="0" applyAlignment="1" pivotButton="0" quotePrefix="0" xfId="0">
      <alignment horizontal="left" wrapText="1" indent="1"/>
    </xf>
    <xf numFmtId="0" fontId="4" fillId="0" borderId="0" applyAlignment="1" pivotButton="0" quotePrefix="0" xfId="0">
      <alignment horizontal="left" wrapText="1" indent="1"/>
    </xf>
    <xf numFmtId="0" fontId="3" fillId="0" borderId="0" applyAlignment="1" pivotButton="0" quotePrefix="0" xfId="0">
      <alignment horizontal="center" wrapText="1"/>
    </xf>
    <xf numFmtId="0" fontId="15" fillId="0" borderId="0" pivotButton="0" quotePrefix="0" xfId="0"/>
    <xf numFmtId="0" fontId="16" fillId="0" borderId="0" pivotButton="0" quotePrefix="0" xfId="0"/>
    <xf numFmtId="0" fontId="14" fillId="6" borderId="0" applyAlignment="1" pivotButton="0" quotePrefix="0" xfId="0">
      <alignment horizontal="center"/>
    </xf>
    <xf numFmtId="0" fontId="12" fillId="4" borderId="0" applyAlignment="1" pivotButton="0" quotePrefix="0" xfId="0">
      <alignment horizontal="center"/>
    </xf>
    <xf numFmtId="0" fontId="13" fillId="5" borderId="0" applyAlignment="1" pivotButton="0" quotePrefix="0" xfId="0">
      <alignment horizontal="center"/>
    </xf>
    <xf numFmtId="0" fontId="17" fillId="6" borderId="0" applyAlignment="1" pivotButton="0" quotePrefix="0" xfId="0">
      <alignment horizontal="center"/>
    </xf>
    <xf numFmtId="0" fontId="18" fillId="4" borderId="0" applyAlignment="1" pivotButton="0" quotePrefix="0" xfId="0">
      <alignment horizontal="center"/>
    </xf>
    <xf numFmtId="0" fontId="19" fillId="5" borderId="0" applyAlignment="1" pivotButton="0" quotePrefix="0" xfId="0">
      <alignment horizontal="center"/>
    </xf>
    <xf numFmtId="0" fontId="9" fillId="2" borderId="0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/>
    </xf>
    <xf numFmtId="0" fontId="0" fillId="0" borderId="3" pivotButton="0" quotePrefix="0" xfId="0"/>
    <xf numFmtId="0" fontId="20" fillId="0" borderId="3" pivotButton="0" quotePrefix="0" xfId="0"/>
    <xf numFmtId="165" fontId="0" fillId="0" borderId="3" pivotButton="0" quotePrefix="0" xfId="0"/>
    <xf numFmtId="0" fontId="12" fillId="4" borderId="3" applyAlignment="1" pivotButton="0" quotePrefix="0" xfId="0">
      <alignment horizontal="center"/>
    </xf>
    <xf numFmtId="0" fontId="13" fillId="5" borderId="3" applyAlignment="1" pivotButton="0" quotePrefix="0" xfId="0">
      <alignment horizontal="center"/>
    </xf>
    <xf numFmtId="0" fontId="14" fillId="6" borderId="3" applyAlignment="1" pivotButton="0" quotePrefix="0" xfId="0">
      <alignment horizontal="center"/>
    </xf>
    <xf numFmtId="4" fontId="3" fillId="0" borderId="0" applyAlignment="1" pivotButton="0" quotePrefix="0" xfId="0">
      <alignment wrapText="1"/>
    </xf>
    <xf numFmtId="0" fontId="3" fillId="3" borderId="0" applyAlignment="1" pivotButton="0" quotePrefix="0" xfId="0">
      <alignment wrapText="1"/>
    </xf>
    <xf numFmtId="4" fontId="3" fillId="3" borderId="0" applyAlignment="1" pivotButton="0" quotePrefix="0" xfId="0">
      <alignment wrapText="1"/>
    </xf>
    <xf numFmtId="0" fontId="10" fillId="3" borderId="0" pivotButton="0" quotePrefix="0" xfId="0"/>
    <xf numFmtId="0" fontId="11" fillId="3" borderId="0" pivotButton="0" quotePrefix="0" xfId="0"/>
    <xf numFmtId="0" fontId="3" fillId="4" borderId="0" applyAlignment="1" pivotButton="0" quotePrefix="0" xfId="0">
      <alignment wrapText="1"/>
    </xf>
    <xf numFmtId="4" fontId="3" fillId="4" borderId="0" applyAlignment="1" pivotButton="0" quotePrefix="0" xfId="0">
      <alignment wrapText="1"/>
    </xf>
    <xf numFmtId="0" fontId="12" fillId="4" borderId="0" pivotButton="0" quotePrefix="0" xfId="0"/>
    <xf numFmtId="0" fontId="11" fillId="4" borderId="0" pivotButton="0" quotePrefix="0" xfId="0"/>
    <xf numFmtId="0" fontId="3" fillId="5" borderId="0" applyAlignment="1" pivotButton="0" quotePrefix="0" xfId="0">
      <alignment wrapText="1"/>
    </xf>
    <xf numFmtId="4" fontId="3" fillId="5" borderId="0" applyAlignment="1" pivotButton="0" quotePrefix="0" xfId="0">
      <alignment wrapText="1"/>
    </xf>
    <xf numFmtId="0" fontId="13" fillId="5" borderId="0" pivotButton="0" quotePrefix="0" xfId="0"/>
    <xf numFmtId="0" fontId="11" fillId="5" borderId="0" pivotButton="0" quotePrefix="0" xfId="0"/>
    <xf numFmtId="164" fontId="4" fillId="0" borderId="2" applyAlignment="1" pivotButton="0" quotePrefix="0" xfId="0">
      <alignment wrapText="1"/>
    </xf>
    <xf numFmtId="0" fontId="3" fillId="6" borderId="0" applyAlignment="1" pivotButton="0" quotePrefix="0" xfId="0">
      <alignment wrapText="1"/>
    </xf>
    <xf numFmtId="4" fontId="3" fillId="6" borderId="0" applyAlignment="1" pivotButton="0" quotePrefix="0" xfId="0">
      <alignment wrapText="1"/>
    </xf>
    <xf numFmtId="0" fontId="14" fillId="6" borderId="0" pivotButton="0" quotePrefix="0" xfId="0"/>
    <xf numFmtId="0" fontId="11" fillId="6" borderId="0" pivotButton="0" quotePrefix="0" xfId="0"/>
    <xf numFmtId="164" fontId="3" fillId="3" borderId="0" applyAlignment="1" pivotButton="0" quotePrefix="0" xfId="0">
      <alignment wrapText="1"/>
    </xf>
  </cellXfs>
  <cellStyles count="9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  <cellStyle name="HeaderCellStyle" xfId="6"/>
    <cellStyle name="GroupedCellStyle" xfId="7"/>
    <cellStyle name="TotalCellStyle" xf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27" customWidth="1" min="3" max="3"/>
    <col width="22" customWidth="1" min="4" max="4"/>
    <col width="38" customWidth="1" min="5" max="5"/>
    <col width="45" customWidth="1" min="6" max="6"/>
    <col width="33" customWidth="1" min="7" max="7"/>
    <col width="20" customWidth="1" min="8" max="8"/>
    <col width="45" customWidth="1" min="9" max="9"/>
    <col width="45" customWidth="1" min="10" max="10"/>
  </cols>
  <sheetData>
    <row r="1">
      <c r="A1" s="41" t="inlineStr">
        <is>
          <t>VIRTUSSOLUTIONS LLC - General Ledger Audit &amp; Compliance Summary</t>
        </is>
      </c>
    </row>
    <row r="2">
      <c r="A2" s="42" t="inlineStr">
        <is>
          <t>Period: July 2026 | Accounting Basis: Accrual Basis</t>
        </is>
      </c>
    </row>
    <row r="3"/>
    <row r="4">
      <c r="A4" s="43" t="inlineStr">
        <is>
          <t>Total Discrepancies / Flags</t>
        </is>
      </c>
      <c r="C4" s="44" t="inlineStr">
        <is>
          <t>CC Vendor Payments Fixed</t>
        </is>
      </c>
      <c r="E4" s="43" t="inlineStr">
        <is>
          <t>Category Inconsistencies</t>
        </is>
      </c>
      <c r="G4" s="45" t="inlineStr">
        <is>
          <t>Uncategorized Inflows/Outflows</t>
        </is>
      </c>
    </row>
    <row r="5">
      <c r="A5" s="46" t="n">
        <v>46</v>
      </c>
      <c r="C5" s="47" t="n">
        <v>4</v>
      </c>
      <c r="E5" s="46" t="n">
        <v>40</v>
      </c>
      <c r="G5" s="48" t="n">
        <v>2</v>
      </c>
    </row>
    <row r="6"/>
    <row r="7">
      <c r="A7" s="49" t="inlineStr">
        <is>
          <t>Row #</t>
        </is>
      </c>
      <c r="B7" s="49" t="inlineStr">
        <is>
          <t>Date</t>
        </is>
      </c>
      <c r="C7" s="49" t="inlineStr">
        <is>
          <t>Account</t>
        </is>
      </c>
      <c r="D7" s="49" t="inlineStr">
        <is>
          <t>Type</t>
        </is>
      </c>
      <c r="E7" s="49" t="inlineStr">
        <is>
          <t>Vendor / Name</t>
        </is>
      </c>
      <c r="F7" s="49" t="inlineStr">
        <is>
          <t>Description</t>
        </is>
      </c>
      <c r="G7" s="49" t="inlineStr">
        <is>
          <t>Amount</t>
        </is>
      </c>
      <c r="H7" s="49" t="inlineStr">
        <is>
          <t>Status</t>
        </is>
      </c>
      <c r="I7" s="49" t="inlineStr">
        <is>
          <t>Identified Issue</t>
        </is>
      </c>
      <c r="J7" s="49" t="inlineStr">
        <is>
          <t>Recommended Action</t>
        </is>
      </c>
    </row>
    <row r="8">
      <c r="A8" s="50" t="n">
        <v>45</v>
      </c>
      <c r="B8" s="50" t="inlineStr">
        <is>
          <t>07/24/2026</t>
        </is>
      </c>
      <c r="C8" s="51" t="inlineStr">
        <is>
          <t>Bank of America</t>
        </is>
      </c>
      <c r="D8" s="51" t="inlineStr">
        <is>
          <t>Credit Card Payment</t>
        </is>
      </c>
      <c r="E8" s="52" t="inlineStr">
        <is>
          <t>Amex CC</t>
        </is>
      </c>
      <c r="F8" s="51" t="inlineStr">
        <is>
          <t>AMERICAN EXPRESS DES:ACH PMT ID:W4206 INDN:SNEHA DATLA CO ID:1133133497 CCD</t>
        </is>
      </c>
      <c r="G8" s="53" t="n">
        <v>-4823.19</v>
      </c>
      <c r="H8" s="54" t="inlineStr">
        <is>
          <t>CC VENDOR UPDATED</t>
        </is>
      </c>
      <c r="I8" s="51" t="inlineStr">
        <is>
          <t>Missing CC Vendor Name</t>
        </is>
      </c>
      <c r="J8" s="52" t="inlineStr">
        <is>
          <t>Updated Name to 'Amex CC'</t>
        </is>
      </c>
    </row>
    <row r="9">
      <c r="A9" s="50" t="n">
        <v>47</v>
      </c>
      <c r="B9" s="50" t="inlineStr">
        <is>
          <t>07/24/2026</t>
        </is>
      </c>
      <c r="C9" s="51" t="inlineStr">
        <is>
          <t>Bank of America</t>
        </is>
      </c>
      <c r="D9" s="51" t="inlineStr">
        <is>
          <t>Credit Card Payment</t>
        </is>
      </c>
      <c r="E9" s="52" t="inlineStr">
        <is>
          <t>BOA CC</t>
        </is>
      </c>
      <c r="F9" s="51" t="inlineStr">
        <is>
          <t>BANK OF AMERICA - CREDIT CARD Bill Payment</t>
        </is>
      </c>
      <c r="G9" s="53" t="n">
        <v>-2965.7</v>
      </c>
      <c r="H9" s="54" t="inlineStr">
        <is>
          <t>CC VENDOR UPDATED</t>
        </is>
      </c>
      <c r="I9" s="51" t="inlineStr">
        <is>
          <t>Missing CC Vendor Name</t>
        </is>
      </c>
      <c r="J9" s="52" t="inlineStr">
        <is>
          <t>Updated Name to 'BOA CC'</t>
        </is>
      </c>
    </row>
    <row r="10">
      <c r="A10" s="50" t="n">
        <v>49</v>
      </c>
      <c r="B10" s="50" t="inlineStr">
        <is>
          <t>07/28/2026</t>
        </is>
      </c>
      <c r="C10" s="51" t="inlineStr">
        <is>
          <t>Bank of America</t>
        </is>
      </c>
      <c r="D10" s="51" t="inlineStr">
        <is>
          <t>Deposit</t>
        </is>
      </c>
      <c r="E10" s="52" t="inlineStr">
        <is>
          <t>BKOFAMERICA MOBILE 07/29 37780</t>
        </is>
      </c>
      <c r="F10" s="51" t="inlineStr">
        <is>
          <t>BKOFAMERICA MOBILE 07/29 3778024504 DEPOSIT *MOBILE FL</t>
        </is>
      </c>
      <c r="G10" s="53" t="n">
        <v>2803.69</v>
      </c>
      <c r="H10" s="55" t="inlineStr">
        <is>
          <t>UNCATEGORIZED</t>
        </is>
      </c>
      <c r="I10" s="51" t="inlineStr">
        <is>
          <t>Uncategorized Transaction</t>
        </is>
      </c>
      <c r="J10" s="52" t="inlineStr">
        <is>
          <t>Assign to specific client invoice or expense account</t>
        </is>
      </c>
    </row>
    <row r="11">
      <c r="A11" s="50" t="n">
        <v>154</v>
      </c>
      <c r="B11" s="50" t="inlineStr">
        <is>
          <t>07/10/2026</t>
        </is>
      </c>
      <c r="C11" s="51" t="inlineStr">
        <is>
          <t>Amex CC</t>
        </is>
      </c>
      <c r="D11" s="51" t="inlineStr">
        <is>
          <t>Expense</t>
        </is>
      </c>
      <c r="E11" s="52" t="inlineStr">
        <is>
          <t>Banner Pest Services</t>
        </is>
      </c>
      <c r="F11" s="51" t="inlineStr">
        <is>
          <t>PY *BANNER PEST SERVSAN JOSE            CA</t>
        </is>
      </c>
      <c r="G11" s="53" t="n">
        <v>150</v>
      </c>
      <c r="H11" s="56" t="inlineStr">
        <is>
          <t>CATEGORY MISMATCH</t>
        </is>
      </c>
      <c r="I11" s="51" t="inlineStr">
        <is>
          <t>Mismatched Category (Found: Office expenses:Office supplies)</t>
        </is>
      </c>
      <c r="J11" s="52" t="inlineStr">
        <is>
          <t>Reclassify to 'Repairs &amp; maintenance'</t>
        </is>
      </c>
    </row>
    <row r="12">
      <c r="A12" s="50" t="n">
        <v>189</v>
      </c>
      <c r="B12" s="50" t="inlineStr">
        <is>
          <t>07/24/2026</t>
        </is>
      </c>
      <c r="C12" s="51" t="inlineStr">
        <is>
          <t>Amex CC</t>
        </is>
      </c>
      <c r="D12" s="51" t="inlineStr">
        <is>
          <t>Credit Card Payment</t>
        </is>
      </c>
      <c r="E12" s="52" t="inlineStr">
        <is>
          <t>Amex CC</t>
        </is>
      </c>
      <c r="F12" s="51" t="inlineStr">
        <is>
          <t>AMERICAN EXPRESS DES:ACH PMT ID:W4206 INDN:SNEHA DATLA CO ID:1133133497 CCD</t>
        </is>
      </c>
      <c r="G12" s="53" t="n">
        <v>-4823.19</v>
      </c>
      <c r="H12" s="54" t="inlineStr">
        <is>
          <t>CC VENDOR UPDATED</t>
        </is>
      </c>
      <c r="I12" s="51" t="inlineStr">
        <is>
          <t>Missing CC Vendor Name</t>
        </is>
      </c>
      <c r="J12" s="52" t="inlineStr">
        <is>
          <t>Updated Name to 'Amex CC'</t>
        </is>
      </c>
    </row>
    <row r="13">
      <c r="A13" s="50" t="n">
        <v>195</v>
      </c>
      <c r="B13" s="50" t="inlineStr">
        <is>
          <t>07/28/2026</t>
        </is>
      </c>
      <c r="C13" s="51" t="inlineStr">
        <is>
          <t>Amex CC</t>
        </is>
      </c>
      <c r="D13" s="51" t="inlineStr">
        <is>
          <t>Credit Card Credit</t>
        </is>
      </c>
      <c r="E13" s="52" t="inlineStr">
        <is>
          <t>Amex CC</t>
        </is>
      </c>
      <c r="F13" s="51" t="inlineStr">
        <is>
          <t>AMEX Wireless Credit</t>
        </is>
      </c>
      <c r="G13" s="53" t="n">
        <v>-10</v>
      </c>
      <c r="H13" s="56" t="inlineStr">
        <is>
          <t>CATEGORY MISMATCH</t>
        </is>
      </c>
      <c r="I13" s="51" t="inlineStr">
        <is>
          <t>Mismatched Category (Found: Utilities:Phone service)</t>
        </is>
      </c>
      <c r="J13" s="52" t="inlineStr">
        <is>
          <t>Reclassify to 'Amex CC'</t>
        </is>
      </c>
    </row>
    <row r="14">
      <c r="A14" s="50" t="n">
        <v>210</v>
      </c>
      <c r="B14" s="50" t="inlineStr">
        <is>
          <t>07/03/2026</t>
        </is>
      </c>
      <c r="C14" s="51" t="inlineStr">
        <is>
          <t>BOA CC</t>
        </is>
      </c>
      <c r="D14" s="51" t="inlineStr">
        <is>
          <t>Expense</t>
        </is>
      </c>
      <c r="E14" s="52" t="inlineStr">
        <is>
          <t>DoorDash</t>
        </is>
      </c>
      <c r="F14" s="51" t="inlineStr">
        <is>
          <t>DD *DOORDASH HALALGYRO 8559731040 CA</t>
        </is>
      </c>
      <c r="G14" s="53" t="n">
        <v>35.85</v>
      </c>
      <c r="H14" s="56" t="inlineStr">
        <is>
          <t>CATEGORY MISMATCH</t>
        </is>
      </c>
      <c r="I14" s="51" t="inlineStr">
        <is>
          <t>Mismatched Category (Found: Meals &amp; Entertainment:Entertainment)</t>
        </is>
      </c>
      <c r="J14" s="52" t="inlineStr">
        <is>
          <t>Reclassify to 'Meals &amp; Entertainment:Meals with clients'</t>
        </is>
      </c>
    </row>
    <row r="15">
      <c r="A15" s="50" t="n">
        <v>214</v>
      </c>
      <c r="B15" s="50" t="inlineStr">
        <is>
          <t>07/09/2026</t>
        </is>
      </c>
      <c r="C15" s="51" t="inlineStr">
        <is>
          <t>BOA CC</t>
        </is>
      </c>
      <c r="D15" s="51" t="inlineStr">
        <is>
          <t>Expense</t>
        </is>
      </c>
      <c r="E15" s="52" t="inlineStr">
        <is>
          <t>DoorDash</t>
        </is>
      </c>
      <c r="F15" s="51" t="inlineStr">
        <is>
          <t>DD *DOORDASH MASALAREP 8559731040 CA</t>
        </is>
      </c>
      <c r="G15" s="53" t="n">
        <v>27.41</v>
      </c>
      <c r="H15" s="56" t="inlineStr">
        <is>
          <t>CATEGORY MISMATCH</t>
        </is>
      </c>
      <c r="I15" s="51" t="inlineStr">
        <is>
          <t>Mismatched Category (Found: Meals &amp; Entertainment:Entertainment)</t>
        </is>
      </c>
      <c r="J15" s="52" t="inlineStr">
        <is>
          <t>Reclassify to 'Meals &amp; Entertainment:Meals with clients'</t>
        </is>
      </c>
    </row>
    <row r="16">
      <c r="A16" s="50" t="n">
        <v>215</v>
      </c>
      <c r="B16" s="50" t="inlineStr">
        <is>
          <t>07/13/2026</t>
        </is>
      </c>
      <c r="C16" s="51" t="inlineStr">
        <is>
          <t>BOA CC</t>
        </is>
      </c>
      <c r="D16" s="51" t="inlineStr">
        <is>
          <t>Expense</t>
        </is>
      </c>
      <c r="E16" s="52" t="inlineStr">
        <is>
          <t>OpenAI</t>
        </is>
      </c>
      <c r="F16" s="51" t="inlineStr">
        <is>
          <t>OPENAI *CHATGPT SUBSCR 4158799686 CA</t>
        </is>
      </c>
      <c r="G16" s="53" t="n">
        <v>20</v>
      </c>
      <c r="H16" s="56" t="inlineStr">
        <is>
          <t>CATEGORY MISMATCH</t>
        </is>
      </c>
      <c r="I16" s="51" t="inlineStr">
        <is>
          <t>Mismatched Category (Found: Dues &amp; subscriptions)</t>
        </is>
      </c>
      <c r="J16" s="52" t="inlineStr">
        <is>
          <t>Reclassify to 'Office expenses:Software &amp; apps'</t>
        </is>
      </c>
    </row>
    <row r="17">
      <c r="A17" s="50" t="n">
        <v>218</v>
      </c>
      <c r="B17" s="50" t="inlineStr">
        <is>
          <t>07/17/2026</t>
        </is>
      </c>
      <c r="C17" s="51" t="inlineStr">
        <is>
          <t>BOA CC</t>
        </is>
      </c>
      <c r="D17" s="51" t="inlineStr">
        <is>
          <t>Expense</t>
        </is>
      </c>
      <c r="E17" s="52" t="inlineStr">
        <is>
          <t>DoorDash</t>
        </is>
      </c>
      <c r="F17" s="51" t="inlineStr">
        <is>
          <t>DD *DOORDASH ANGRYCHIC 8559731040 CA</t>
        </is>
      </c>
      <c r="G17" s="53" t="n">
        <v>26.1</v>
      </c>
      <c r="H17" s="56" t="inlineStr">
        <is>
          <t>CATEGORY MISMATCH</t>
        </is>
      </c>
      <c r="I17" s="51" t="inlineStr">
        <is>
          <t>Mismatched Category (Found: Meals &amp; Entertainment:Entertainment)</t>
        </is>
      </c>
      <c r="J17" s="52" t="inlineStr">
        <is>
          <t>Reclassify to 'Meals &amp; Entertainment:Meals with clients'</t>
        </is>
      </c>
    </row>
    <row r="18">
      <c r="A18" s="50" t="n">
        <v>220</v>
      </c>
      <c r="B18" s="50" t="inlineStr">
        <is>
          <t>07/20/2026</t>
        </is>
      </c>
      <c r="C18" s="51" t="inlineStr">
        <is>
          <t>BOA CC</t>
        </is>
      </c>
      <c r="D18" s="51" t="inlineStr">
        <is>
          <t>Expense</t>
        </is>
      </c>
      <c r="E18" s="52" t="inlineStr">
        <is>
          <t>DoorDash</t>
        </is>
      </c>
      <c r="F18" s="51" t="inlineStr">
        <is>
          <t>DD *DOORDASH NAGASKITC 8559731040 CA</t>
        </is>
      </c>
      <c r="G18" s="53" t="n">
        <v>31.21</v>
      </c>
      <c r="H18" s="56" t="inlineStr">
        <is>
          <t>CATEGORY MISMATCH</t>
        </is>
      </c>
      <c r="I18" s="51" t="inlineStr">
        <is>
          <t>Mismatched Category (Found: Meals &amp; Entertainment:Entertainment)</t>
        </is>
      </c>
      <c r="J18" s="52" t="inlineStr">
        <is>
          <t>Reclassify to 'Meals &amp; Entertainment:Meals with clients'</t>
        </is>
      </c>
    </row>
    <row r="19">
      <c r="A19" s="50" t="n">
        <v>221</v>
      </c>
      <c r="B19" s="50" t="inlineStr">
        <is>
          <t>07/23/2026</t>
        </is>
      </c>
      <c r="C19" s="51" t="inlineStr">
        <is>
          <t>BOA CC</t>
        </is>
      </c>
      <c r="D19" s="51" t="inlineStr">
        <is>
          <t>Expense</t>
        </is>
      </c>
      <c r="E19" s="52" t="inlineStr">
        <is>
          <t>DoorDash</t>
        </is>
      </c>
      <c r="F19" s="51" t="inlineStr">
        <is>
          <t>DD *DOORDASH ULAVACHAR 8559731040 CA</t>
        </is>
      </c>
      <c r="G19" s="53" t="n">
        <v>17.98</v>
      </c>
      <c r="H19" s="56" t="inlineStr">
        <is>
          <t>CATEGORY MISMATCH</t>
        </is>
      </c>
      <c r="I19" s="51" t="inlineStr">
        <is>
          <t>Mismatched Category (Found: Meals &amp; Entertainment:Entertainment)</t>
        </is>
      </c>
      <c r="J19" s="52" t="inlineStr">
        <is>
          <t>Reclassify to 'Meals &amp; Entertainment:Meals with clients'</t>
        </is>
      </c>
    </row>
    <row r="20">
      <c r="A20" s="50" t="n">
        <v>222</v>
      </c>
      <c r="B20" s="50" t="inlineStr">
        <is>
          <t>07/24/2026</t>
        </is>
      </c>
      <c r="C20" s="51" t="inlineStr">
        <is>
          <t>BOA CC</t>
        </is>
      </c>
      <c r="D20" s="51" t="inlineStr">
        <is>
          <t>Credit Card Payment</t>
        </is>
      </c>
      <c r="E20" s="52" t="inlineStr">
        <is>
          <t>BOA CC</t>
        </is>
      </c>
      <c r="F20" s="51" t="inlineStr">
        <is>
          <t>BANK OF AMERICA - CREDIT CARD Bill Payment</t>
        </is>
      </c>
      <c r="G20" s="53" t="n">
        <v>-2965.7</v>
      </c>
      <c r="H20" s="54" t="inlineStr">
        <is>
          <t>CC VENDOR UPDATED</t>
        </is>
      </c>
      <c r="I20" s="51" t="inlineStr">
        <is>
          <t>Missing CC Vendor Name</t>
        </is>
      </c>
      <c r="J20" s="52" t="inlineStr">
        <is>
          <t>Updated Name to 'BOA CC'</t>
        </is>
      </c>
    </row>
    <row r="21">
      <c r="A21" s="50" t="n">
        <v>224</v>
      </c>
      <c r="B21" s="50" t="inlineStr">
        <is>
          <t>07/26/2026</t>
        </is>
      </c>
      <c r="C21" s="51" t="inlineStr">
        <is>
          <t>BOA CC</t>
        </is>
      </c>
      <c r="D21" s="51" t="inlineStr">
        <is>
          <t>Expense</t>
        </is>
      </c>
      <c r="E21" s="52" t="inlineStr">
        <is>
          <t>DoorDash</t>
        </is>
      </c>
      <c r="F21" s="51" t="inlineStr">
        <is>
          <t>DD *DOORDASH DECCANMOR 8559731040 CA</t>
        </is>
      </c>
      <c r="G21" s="53" t="n">
        <v>24.94</v>
      </c>
      <c r="H21" s="56" t="inlineStr">
        <is>
          <t>CATEGORY MISMATCH</t>
        </is>
      </c>
      <c r="I21" s="51" t="inlineStr">
        <is>
          <t>Mismatched Category (Found: Meals &amp; Entertainment:Entertainment)</t>
        </is>
      </c>
      <c r="J21" s="52" t="inlineStr">
        <is>
          <t>Reclassify to 'Meals &amp; Entertainment:Meals with clients'</t>
        </is>
      </c>
    </row>
    <row r="22">
      <c r="A22" s="50" t="n">
        <v>225</v>
      </c>
      <c r="B22" s="50" t="inlineStr">
        <is>
          <t>07/29/2026</t>
        </is>
      </c>
      <c r="C22" s="51" t="inlineStr">
        <is>
          <t>BOA CC</t>
        </is>
      </c>
      <c r="D22" s="51" t="inlineStr">
        <is>
          <t>Expense</t>
        </is>
      </c>
      <c r="E22" s="52" t="inlineStr">
        <is>
          <t>DoorDash</t>
        </is>
      </c>
      <c r="F22" s="51" t="inlineStr">
        <is>
          <t>DD *DOORDASH DECCANMOR 8559731040 CA</t>
        </is>
      </c>
      <c r="G22" s="53" t="n">
        <v>18.5</v>
      </c>
      <c r="H22" s="56" t="inlineStr">
        <is>
          <t>CATEGORY MISMATCH</t>
        </is>
      </c>
      <c r="I22" s="51" t="inlineStr">
        <is>
          <t>Mismatched Category (Found: Meals &amp; Entertainment:Entertainment)</t>
        </is>
      </c>
      <c r="J22" s="52" t="inlineStr">
        <is>
          <t>Reclassify to 'Meals &amp; Entertainment:Meals with clients'</t>
        </is>
      </c>
    </row>
    <row r="23">
      <c r="A23" s="50" t="n">
        <v>277</v>
      </c>
      <c r="B23" s="50" t="inlineStr">
        <is>
          <t>07/06/2026</t>
        </is>
      </c>
      <c r="C23" s="51" t="inlineStr">
        <is>
          <t>Services</t>
        </is>
      </c>
      <c r="D23" s="51" t="inlineStr">
        <is>
          <t>Invoice</t>
        </is>
      </c>
      <c r="E23" s="52" t="inlineStr">
        <is>
          <t>Medix Staffing Solutions, LLC,</t>
        </is>
      </c>
      <c r="F23" s="51" t="inlineStr">
        <is>
          <t>Back-End Power BI Developer - 07/01/26 - 07/05/26</t>
        </is>
      </c>
      <c r="G23" s="53" t="n">
        <v>1336</v>
      </c>
      <c r="H23" s="56" t="inlineStr">
        <is>
          <t>CATEGORY MISMATCH</t>
        </is>
      </c>
      <c r="I23" s="51" t="inlineStr">
        <is>
          <t>Mismatched Category (Found: Services)</t>
        </is>
      </c>
      <c r="J23" s="52" t="inlineStr">
        <is>
          <t>Reclassify to 'Accounts Receivable (A/R)'</t>
        </is>
      </c>
    </row>
    <row r="24">
      <c r="A24" s="50" t="n">
        <v>278</v>
      </c>
      <c r="B24" s="50" t="inlineStr">
        <is>
          <t>07/06/2026</t>
        </is>
      </c>
      <c r="C24" s="51" t="inlineStr">
        <is>
          <t>Services</t>
        </is>
      </c>
      <c r="D24" s="51" t="inlineStr">
        <is>
          <t>Invoice</t>
        </is>
      </c>
      <c r="E24" s="52" t="inlineStr">
        <is>
          <t>Medix Staffing Solutions, LLC,</t>
        </is>
      </c>
      <c r="F24" s="51" t="inlineStr">
        <is>
          <t>Back-End Power BI Developer - 07/06/26 - 07/12/26</t>
        </is>
      </c>
      <c r="G24" s="53" t="n">
        <v>3340</v>
      </c>
      <c r="H24" s="56" t="inlineStr">
        <is>
          <t>CATEGORY MISMATCH</t>
        </is>
      </c>
      <c r="I24" s="51" t="inlineStr">
        <is>
          <t>Mismatched Category (Found: Services)</t>
        </is>
      </c>
      <c r="J24" s="52" t="inlineStr">
        <is>
          <t>Reclassify to 'Accounts Receivable (A/R)'</t>
        </is>
      </c>
    </row>
    <row r="25">
      <c r="A25" s="50" t="n">
        <v>279</v>
      </c>
      <c r="B25" s="50" t="inlineStr">
        <is>
          <t>07/20/2026</t>
        </is>
      </c>
      <c r="C25" s="51" t="inlineStr">
        <is>
          <t>Services</t>
        </is>
      </c>
      <c r="D25" s="51" t="inlineStr">
        <is>
          <t>Invoice</t>
        </is>
      </c>
      <c r="E25" s="52" t="inlineStr">
        <is>
          <t>Medix Staffing Solutions, LLC,</t>
        </is>
      </c>
      <c r="F25" s="51" t="inlineStr">
        <is>
          <t>Back-End Power BI Developer - 07/13/26 - 07/19/26</t>
        </is>
      </c>
      <c r="G25" s="53" t="n">
        <v>3340</v>
      </c>
      <c r="H25" s="56" t="inlineStr">
        <is>
          <t>CATEGORY MISMATCH</t>
        </is>
      </c>
      <c r="I25" s="51" t="inlineStr">
        <is>
          <t>Mismatched Category (Found: Services)</t>
        </is>
      </c>
      <c r="J25" s="52" t="inlineStr">
        <is>
          <t>Reclassify to 'Accounts Receivable (A/R)'</t>
        </is>
      </c>
    </row>
    <row r="26">
      <c r="A26" s="50" t="n">
        <v>280</v>
      </c>
      <c r="B26" s="50" t="inlineStr">
        <is>
          <t>07/20/2026</t>
        </is>
      </c>
      <c r="C26" s="51" t="inlineStr">
        <is>
          <t>Services</t>
        </is>
      </c>
      <c r="D26" s="51" t="inlineStr">
        <is>
          <t>Invoice</t>
        </is>
      </c>
      <c r="E26" s="52" t="inlineStr">
        <is>
          <t>Medix Staffing Solutions, LLC,</t>
        </is>
      </c>
      <c r="F26" s="51" t="inlineStr">
        <is>
          <t>Back-End Power BI Developer - 07/19/26 - 07/25/26</t>
        </is>
      </c>
      <c r="G26" s="53" t="n">
        <v>3340</v>
      </c>
      <c r="H26" s="56" t="inlineStr">
        <is>
          <t>CATEGORY MISMATCH</t>
        </is>
      </c>
      <c r="I26" s="51" t="inlineStr">
        <is>
          <t>Mismatched Category (Found: Services)</t>
        </is>
      </c>
      <c r="J26" s="52" t="inlineStr">
        <is>
          <t>Reclassify to 'Accounts Receivable (A/R)'</t>
        </is>
      </c>
    </row>
    <row r="27">
      <c r="A27" s="50" t="n">
        <v>281</v>
      </c>
      <c r="B27" s="50" t="inlineStr">
        <is>
          <t>07/20/2026</t>
        </is>
      </c>
      <c r="C27" s="51" t="inlineStr">
        <is>
          <t>Services</t>
        </is>
      </c>
      <c r="D27" s="51" t="inlineStr">
        <is>
          <t>Invoice</t>
        </is>
      </c>
      <c r="E27" s="52" t="inlineStr">
        <is>
          <t>Medix Staffing Solutions, LLC,</t>
        </is>
      </c>
      <c r="F27" s="51" t="inlineStr">
        <is>
          <t>Back-End Power BI Developer - 07/26/26 - 07/31/26</t>
        </is>
      </c>
      <c r="G27" s="53" t="n">
        <v>3340</v>
      </c>
      <c r="H27" s="56" t="inlineStr">
        <is>
          <t>CATEGORY MISMATCH</t>
        </is>
      </c>
      <c r="I27" s="51" t="inlineStr">
        <is>
          <t>Mismatched Category (Found: Services)</t>
        </is>
      </c>
      <c r="J27" s="52" t="inlineStr">
        <is>
          <t>Reclassify to 'Accounts Receivable (A/R)'</t>
        </is>
      </c>
    </row>
    <row r="28">
      <c r="A28" s="50" t="n">
        <v>282</v>
      </c>
      <c r="B28" s="50" t="inlineStr">
        <is>
          <t>07/31/2026</t>
        </is>
      </c>
      <c r="C28" s="51" t="inlineStr">
        <is>
          <t>Services</t>
        </is>
      </c>
      <c r="D28" s="51" t="inlineStr">
        <is>
          <t>Invoice</t>
        </is>
      </c>
      <c r="E28" s="52" t="inlineStr">
        <is>
          <t>Phoenix Staff Inc</t>
        </is>
      </c>
      <c r="F28" s="51" t="inlineStr">
        <is>
          <t>07/01/26 - 07/05/26</t>
        </is>
      </c>
      <c r="G28" s="53" t="n">
        <v>1104</v>
      </c>
      <c r="H28" s="56" t="inlineStr">
        <is>
          <t>CATEGORY MISMATCH</t>
        </is>
      </c>
      <c r="I28" s="51" t="inlineStr">
        <is>
          <t>Mismatched Category (Found: Services)</t>
        </is>
      </c>
      <c r="J28" s="52" t="inlineStr">
        <is>
          <t>Reclassify to 'Accounts Receivable (A/R)'</t>
        </is>
      </c>
    </row>
    <row r="29">
      <c r="A29" s="50" t="n">
        <v>283</v>
      </c>
      <c r="B29" s="50" t="inlineStr">
        <is>
          <t>07/31/2026</t>
        </is>
      </c>
      <c r="C29" s="51" t="inlineStr">
        <is>
          <t>Services</t>
        </is>
      </c>
      <c r="D29" s="51" t="inlineStr">
        <is>
          <t>Invoice</t>
        </is>
      </c>
      <c r="E29" s="52" t="inlineStr">
        <is>
          <t>Phoenix Staff Inc</t>
        </is>
      </c>
      <c r="F29" s="51" t="inlineStr">
        <is>
          <t>07/06/26 - 07/12/26</t>
        </is>
      </c>
      <c r="G29" s="53" t="n">
        <v>2760</v>
      </c>
      <c r="H29" s="56" t="inlineStr">
        <is>
          <t>CATEGORY MISMATCH</t>
        </is>
      </c>
      <c r="I29" s="51" t="inlineStr">
        <is>
          <t>Mismatched Category (Found: Services)</t>
        </is>
      </c>
      <c r="J29" s="52" t="inlineStr">
        <is>
          <t>Reclassify to 'Accounts Receivable (A/R)'</t>
        </is>
      </c>
    </row>
    <row r="30">
      <c r="A30" s="50" t="n">
        <v>284</v>
      </c>
      <c r="B30" s="50" t="inlineStr">
        <is>
          <t>07/31/2026</t>
        </is>
      </c>
      <c r="C30" s="51" t="inlineStr">
        <is>
          <t>Services</t>
        </is>
      </c>
      <c r="D30" s="51" t="inlineStr">
        <is>
          <t>Invoice</t>
        </is>
      </c>
      <c r="E30" s="52" t="inlineStr">
        <is>
          <t>Phoenix Staff Inc</t>
        </is>
      </c>
      <c r="F30" s="51" t="inlineStr">
        <is>
          <t>07/13/26 - 07/19/26</t>
        </is>
      </c>
      <c r="G30" s="53" t="n">
        <v>2760</v>
      </c>
      <c r="H30" s="56" t="inlineStr">
        <is>
          <t>CATEGORY MISMATCH</t>
        </is>
      </c>
      <c r="I30" s="51" t="inlineStr">
        <is>
          <t>Mismatched Category (Found: Services)</t>
        </is>
      </c>
      <c r="J30" s="52" t="inlineStr">
        <is>
          <t>Reclassify to 'Accounts Receivable (A/R)'</t>
        </is>
      </c>
    </row>
    <row r="31">
      <c r="A31" s="50" t="n">
        <v>285</v>
      </c>
      <c r="B31" s="50" t="inlineStr">
        <is>
          <t>07/31/2026</t>
        </is>
      </c>
      <c r="C31" s="51" t="inlineStr">
        <is>
          <t>Services</t>
        </is>
      </c>
      <c r="D31" s="51" t="inlineStr">
        <is>
          <t>Invoice</t>
        </is>
      </c>
      <c r="E31" s="52" t="inlineStr">
        <is>
          <t>Phoenix Staff Inc</t>
        </is>
      </c>
      <c r="F31" s="51" t="inlineStr">
        <is>
          <t>07/20/26 - 07/26/26</t>
        </is>
      </c>
      <c r="G31" s="53" t="n">
        <v>2600</v>
      </c>
      <c r="H31" s="56" t="inlineStr">
        <is>
          <t>CATEGORY MISMATCH</t>
        </is>
      </c>
      <c r="I31" s="51" t="inlineStr">
        <is>
          <t>Mismatched Category (Found: Services)</t>
        </is>
      </c>
      <c r="J31" s="52" t="inlineStr">
        <is>
          <t>Reclassify to 'Accounts Receivable (A/R)'</t>
        </is>
      </c>
    </row>
    <row r="32">
      <c r="A32" s="50" t="n">
        <v>286</v>
      </c>
      <c r="B32" s="50" t="inlineStr">
        <is>
          <t>07/31/2026</t>
        </is>
      </c>
      <c r="C32" s="51" t="inlineStr">
        <is>
          <t>Services</t>
        </is>
      </c>
      <c r="D32" s="51" t="inlineStr">
        <is>
          <t>Invoice</t>
        </is>
      </c>
      <c r="E32" s="52" t="inlineStr">
        <is>
          <t>Phoenix Staff Inc</t>
        </is>
      </c>
      <c r="F32" s="51" t="inlineStr">
        <is>
          <t>07/27/26 - 07/31/26</t>
        </is>
      </c>
      <c r="G32" s="53" t="n">
        <v>2600</v>
      </c>
      <c r="H32" s="56" t="inlineStr">
        <is>
          <t>CATEGORY MISMATCH</t>
        </is>
      </c>
      <c r="I32" s="51" t="inlineStr">
        <is>
          <t>Mismatched Category (Found: Services)</t>
        </is>
      </c>
      <c r="J32" s="52" t="inlineStr">
        <is>
          <t>Reclassify to 'Accounts Receivable (A/R)'</t>
        </is>
      </c>
    </row>
    <row r="33">
      <c r="A33" s="50" t="n">
        <v>287</v>
      </c>
      <c r="B33" s="50" t="inlineStr">
        <is>
          <t>07/31/2026</t>
        </is>
      </c>
      <c r="C33" s="51" t="inlineStr">
        <is>
          <t>Services</t>
        </is>
      </c>
      <c r="D33" s="51" t="inlineStr">
        <is>
          <t>Invoice</t>
        </is>
      </c>
      <c r="E33" s="52" t="inlineStr">
        <is>
          <t>SANA Software Solutions</t>
        </is>
      </c>
      <c r="F33" s="51" t="inlineStr">
        <is>
          <t>Nithya Tejasvini Baddam - July 2026</t>
        </is>
      </c>
      <c r="G33" s="53" t="n">
        <v>11440</v>
      </c>
      <c r="H33" s="56" t="inlineStr">
        <is>
          <t>CATEGORY MISMATCH</t>
        </is>
      </c>
      <c r="I33" s="51" t="inlineStr">
        <is>
          <t>Mismatched Category (Found: Services)</t>
        </is>
      </c>
      <c r="J33" s="52" t="inlineStr">
        <is>
          <t>Reclassify to 'Accounts Receivable (A/R)'</t>
        </is>
      </c>
    </row>
    <row r="34">
      <c r="A34" s="50" t="n">
        <v>288</v>
      </c>
      <c r="B34" s="50" t="inlineStr">
        <is>
          <t>07/31/2026</t>
        </is>
      </c>
      <c r="C34" s="51" t="inlineStr">
        <is>
          <t>Services</t>
        </is>
      </c>
      <c r="D34" s="51" t="inlineStr">
        <is>
          <t>Invoice</t>
        </is>
      </c>
      <c r="E34" s="52" t="inlineStr">
        <is>
          <t>Nityo Infotech Corporation</t>
        </is>
      </c>
      <c r="F34" s="51" t="inlineStr">
        <is>
          <t>07/01/26 - 07/31/26</t>
        </is>
      </c>
      <c r="G34" s="53" t="n">
        <v>13024</v>
      </c>
      <c r="H34" s="56" t="inlineStr">
        <is>
          <t>CATEGORY MISMATCH</t>
        </is>
      </c>
      <c r="I34" s="51" t="inlineStr">
        <is>
          <t>Mismatched Category (Found: Services)</t>
        </is>
      </c>
      <c r="J34" s="52" t="inlineStr">
        <is>
          <t>Reclassify to 'Accounts Receivable (A/R)'</t>
        </is>
      </c>
    </row>
    <row r="35">
      <c r="A35" s="50" t="n">
        <v>289</v>
      </c>
      <c r="B35" s="50" t="inlineStr">
        <is>
          <t>07/31/2026</t>
        </is>
      </c>
      <c r="C35" s="51" t="inlineStr">
        <is>
          <t>Services</t>
        </is>
      </c>
      <c r="D35" s="51" t="inlineStr">
        <is>
          <t>Invoice</t>
        </is>
      </c>
      <c r="E35" s="52" t="inlineStr">
        <is>
          <t>Nityo Infotech Corporation</t>
        </is>
      </c>
      <c r="F35" s="51" t="inlineStr">
        <is>
          <t>1.2% payment fee for Vendor Management Charges</t>
        </is>
      </c>
      <c r="G35" s="53" t="n">
        <v>-156.28</v>
      </c>
      <c r="H35" s="56" t="inlineStr">
        <is>
          <t>CATEGORY MISMATCH</t>
        </is>
      </c>
      <c r="I35" s="51" t="inlineStr">
        <is>
          <t>Mismatched Category (Found: Services)</t>
        </is>
      </c>
      <c r="J35" s="52" t="inlineStr">
        <is>
          <t>Reclassify to 'Accounts Receivable (A/R)'</t>
        </is>
      </c>
    </row>
    <row r="36">
      <c r="A36" s="50" t="n">
        <v>290</v>
      </c>
      <c r="B36" s="50" t="inlineStr">
        <is>
          <t>07/31/2026</t>
        </is>
      </c>
      <c r="C36" s="51" t="inlineStr">
        <is>
          <t>Services</t>
        </is>
      </c>
      <c r="D36" s="51" t="inlineStr">
        <is>
          <t>Invoice</t>
        </is>
      </c>
      <c r="E36" s="52" t="inlineStr">
        <is>
          <t>Vivid Technologies Inc</t>
        </is>
      </c>
      <c r="F36" s="51" t="inlineStr">
        <is>
          <t>Professional Services from the period 07/01/26 - 07/31/26</t>
        </is>
      </c>
      <c r="G36" s="53" t="n">
        <v>10920</v>
      </c>
      <c r="H36" s="56" t="inlineStr">
        <is>
          <t>CATEGORY MISMATCH</t>
        </is>
      </c>
      <c r="I36" s="51" t="inlineStr">
        <is>
          <t>Mismatched Category (Found: Services)</t>
        </is>
      </c>
      <c r="J36" s="52" t="inlineStr">
        <is>
          <t>Reclassify to 'Accounts Receivable (A/R)'</t>
        </is>
      </c>
    </row>
    <row r="37">
      <c r="A37" s="50" t="n">
        <v>291</v>
      </c>
      <c r="B37" s="50" t="inlineStr">
        <is>
          <t>07/31/2026</t>
        </is>
      </c>
      <c r="C37" s="51" t="inlineStr">
        <is>
          <t>Services</t>
        </is>
      </c>
      <c r="D37" s="51" t="inlineStr">
        <is>
          <t>Invoice</t>
        </is>
      </c>
      <c r="E37" s="52" t="inlineStr">
        <is>
          <t>Bigbyte</t>
        </is>
      </c>
      <c r="F37" s="51" t="inlineStr">
        <is>
          <t>Professional Services from the period 07/01/26 -07/31/26</t>
        </is>
      </c>
      <c r="G37" s="53" t="n">
        <v>11792</v>
      </c>
      <c r="H37" s="56" t="inlineStr">
        <is>
          <t>CATEGORY MISMATCH</t>
        </is>
      </c>
      <c r="I37" s="51" t="inlineStr">
        <is>
          <t>Mismatched Category (Found: Services)</t>
        </is>
      </c>
      <c r="J37" s="52" t="inlineStr">
        <is>
          <t>Reclassify to 'Accounts Receivable (A/R)'</t>
        </is>
      </c>
    </row>
    <row r="38">
      <c r="A38" s="50" t="n">
        <v>292</v>
      </c>
      <c r="B38" s="50" t="inlineStr">
        <is>
          <t>07/31/2026</t>
        </is>
      </c>
      <c r="C38" s="51" t="inlineStr">
        <is>
          <t>Services</t>
        </is>
      </c>
      <c r="D38" s="51" t="inlineStr">
        <is>
          <t>Invoice</t>
        </is>
      </c>
      <c r="E38" s="52" t="inlineStr">
        <is>
          <t>Randstand Digital</t>
        </is>
      </c>
      <c r="F38" s="51" t="inlineStr">
        <is>
          <t>Venkata Vinay Kumar 07/01/2026 -07/31/2026</t>
        </is>
      </c>
      <c r="G38" s="53" t="n">
        <v>7136.8</v>
      </c>
      <c r="H38" s="56" t="inlineStr">
        <is>
          <t>CATEGORY MISMATCH</t>
        </is>
      </c>
      <c r="I38" s="51" t="inlineStr">
        <is>
          <t>Mismatched Category (Found: Services)</t>
        </is>
      </c>
      <c r="J38" s="52" t="inlineStr">
        <is>
          <t>Reclassify to 'Accounts Receivable (A/R)'</t>
        </is>
      </c>
    </row>
    <row r="39">
      <c r="A39" s="50" t="n">
        <v>293</v>
      </c>
      <c r="B39" s="50" t="inlineStr">
        <is>
          <t>07/31/2026</t>
        </is>
      </c>
      <c r="C39" s="51" t="inlineStr">
        <is>
          <t>Services</t>
        </is>
      </c>
      <c r="D39" s="51" t="inlineStr">
        <is>
          <t>Invoice</t>
        </is>
      </c>
      <c r="E39" s="52" t="inlineStr">
        <is>
          <t>AGILISIUM CONSULTING LLC</t>
        </is>
      </c>
      <c r="F39" s="51" t="inlineStr">
        <is>
          <t>Gadupudi Ravi Kumar – Professional Services for the period 07/01/26 - 07/31/26</t>
        </is>
      </c>
      <c r="G39" s="53" t="n">
        <v>4048</v>
      </c>
      <c r="H39" s="56" t="inlineStr">
        <is>
          <t>CATEGORY MISMATCH</t>
        </is>
      </c>
      <c r="I39" s="51" t="inlineStr">
        <is>
          <t>Mismatched Category (Found: Services)</t>
        </is>
      </c>
      <c r="J39" s="52" t="inlineStr">
        <is>
          <t>Reclassify to 'Accounts Receivable (A/R)'</t>
        </is>
      </c>
    </row>
    <row r="40">
      <c r="A40" s="50" t="n">
        <v>294</v>
      </c>
      <c r="B40" s="50" t="inlineStr">
        <is>
          <t>07/31/2026</t>
        </is>
      </c>
      <c r="C40" s="51" t="inlineStr">
        <is>
          <t>Services</t>
        </is>
      </c>
      <c r="D40" s="51" t="inlineStr">
        <is>
          <t>Invoice</t>
        </is>
      </c>
      <c r="E40" s="52" t="inlineStr">
        <is>
          <t>Infinite Computer Solutions Inc.</t>
        </is>
      </c>
      <c r="F40" s="51" t="inlineStr">
        <is>
          <t>07/01/26 - 07/31/26 (Invoice I- 496082)</t>
        </is>
      </c>
      <c r="G40" s="53" t="n">
        <v>12414.48</v>
      </c>
      <c r="H40" s="56" t="inlineStr">
        <is>
          <t>CATEGORY MISMATCH</t>
        </is>
      </c>
      <c r="I40" s="51" t="inlineStr">
        <is>
          <t>Mismatched Category (Found: Services)</t>
        </is>
      </c>
      <c r="J40" s="52" t="inlineStr">
        <is>
          <t>Reclassify to 'Accounts Receivable (A/R)'</t>
        </is>
      </c>
    </row>
    <row r="41">
      <c r="A41" s="50" t="n">
        <v>295</v>
      </c>
      <c r="B41" s="50" t="inlineStr">
        <is>
          <t>07/31/2026</t>
        </is>
      </c>
      <c r="C41" s="51" t="inlineStr">
        <is>
          <t>Services</t>
        </is>
      </c>
      <c r="D41" s="51" t="inlineStr">
        <is>
          <t>Invoice</t>
        </is>
      </c>
      <c r="E41" s="52" t="inlineStr">
        <is>
          <t>American Technology Services LLC</t>
        </is>
      </c>
      <c r="F41" s="51" t="inlineStr">
        <is>
          <t>Nagendra Jaggarapu - 07/01/26 - 07/31/26 (Work Order# OMF-CW-0003240)</t>
        </is>
      </c>
      <c r="G41" s="53" t="n">
        <v>16800</v>
      </c>
      <c r="H41" s="56" t="inlineStr">
        <is>
          <t>CATEGORY MISMATCH</t>
        </is>
      </c>
      <c r="I41" s="51" t="inlineStr">
        <is>
          <t>Mismatched Category (Found: Services)</t>
        </is>
      </c>
      <c r="J41" s="52" t="inlineStr">
        <is>
          <t>Reclassify to 'Accounts Receivable (A/R)'</t>
        </is>
      </c>
    </row>
    <row r="42">
      <c r="A42" s="50" t="n">
        <v>296</v>
      </c>
      <c r="B42" s="50" t="inlineStr">
        <is>
          <t>07/31/2026</t>
        </is>
      </c>
      <c r="C42" s="51" t="inlineStr">
        <is>
          <t>Services</t>
        </is>
      </c>
      <c r="D42" s="51" t="inlineStr">
        <is>
          <t>Invoice</t>
        </is>
      </c>
      <c r="E42" s="52" t="inlineStr">
        <is>
          <t>Sage Solutions LLC</t>
        </is>
      </c>
      <c r="F42" s="51" t="inlineStr">
        <is>
          <t>Sravan Tadepalli_07/01/26- 07/31/26</t>
        </is>
      </c>
      <c r="G42" s="53" t="n">
        <v>11264</v>
      </c>
      <c r="H42" s="56" t="inlineStr">
        <is>
          <t>CATEGORY MISMATCH</t>
        </is>
      </c>
      <c r="I42" s="51" t="inlineStr">
        <is>
          <t>Mismatched Category (Found: Services)</t>
        </is>
      </c>
      <c r="J42" s="52" t="inlineStr">
        <is>
          <t>Reclassify to 'Consulting Fees'</t>
        </is>
      </c>
    </row>
    <row r="43">
      <c r="A43" s="50" t="n">
        <v>297</v>
      </c>
      <c r="B43" s="50" t="inlineStr">
        <is>
          <t>07/31/2026</t>
        </is>
      </c>
      <c r="C43" s="51" t="inlineStr">
        <is>
          <t>Services</t>
        </is>
      </c>
      <c r="D43" s="51" t="inlineStr">
        <is>
          <t>Invoice</t>
        </is>
      </c>
      <c r="E43" s="52" t="inlineStr">
        <is>
          <t>American Technology Services LLC</t>
        </is>
      </c>
      <c r="F43" s="51" t="inlineStr">
        <is>
          <t>Professional Services from the period 07/01/26 - 07/31/26 (Work Order# OMF-WO-0003012)</t>
        </is>
      </c>
      <c r="G43" s="53" t="n">
        <v>11440</v>
      </c>
      <c r="H43" s="56" t="inlineStr">
        <is>
          <t>CATEGORY MISMATCH</t>
        </is>
      </c>
      <c r="I43" s="51" t="inlineStr">
        <is>
          <t>Mismatched Category (Found: Services)</t>
        </is>
      </c>
      <c r="J43" s="52" t="inlineStr">
        <is>
          <t>Reclassify to 'Accounts Receivable (A/R)'</t>
        </is>
      </c>
    </row>
    <row r="44">
      <c r="A44" s="50" t="n">
        <v>298</v>
      </c>
      <c r="B44" s="50" t="inlineStr">
        <is>
          <t>07/31/2026</t>
        </is>
      </c>
      <c r="C44" s="51" t="inlineStr">
        <is>
          <t>Services</t>
        </is>
      </c>
      <c r="D44" s="51" t="inlineStr">
        <is>
          <t>Invoice</t>
        </is>
      </c>
      <c r="E44" s="52" t="inlineStr">
        <is>
          <t>AGILISIUM CONSULTING LLC</t>
        </is>
      </c>
      <c r="F44" s="51" t="inlineStr">
        <is>
          <t>Rakesh Varma Uppalapati _ 07/01/26 - 07/31/26</t>
        </is>
      </c>
      <c r="G44" s="53" t="n">
        <v>14960</v>
      </c>
      <c r="H44" s="56" t="inlineStr">
        <is>
          <t>CATEGORY MISMATCH</t>
        </is>
      </c>
      <c r="I44" s="51" t="inlineStr">
        <is>
          <t>Mismatched Category (Found: Services)</t>
        </is>
      </c>
      <c r="J44" s="52" t="inlineStr">
        <is>
          <t>Reclassify to 'Accounts Receivable (A/R)'</t>
        </is>
      </c>
    </row>
    <row r="45">
      <c r="A45" s="50" t="n">
        <v>299</v>
      </c>
      <c r="B45" s="50" t="inlineStr">
        <is>
          <t>07/31/2026</t>
        </is>
      </c>
      <c r="C45" s="51" t="inlineStr">
        <is>
          <t>Services</t>
        </is>
      </c>
      <c r="D45" s="51" t="inlineStr">
        <is>
          <t>Invoice</t>
        </is>
      </c>
      <c r="E45" s="52" t="inlineStr">
        <is>
          <t>Vendorpass, INC</t>
        </is>
      </c>
      <c r="F45" s="51" t="inlineStr">
        <is>
          <t>07/01/26-07/31/26</t>
        </is>
      </c>
      <c r="G45" s="53" t="n">
        <v>9328</v>
      </c>
      <c r="H45" s="56" t="inlineStr">
        <is>
          <t>CATEGORY MISMATCH</t>
        </is>
      </c>
      <c r="I45" s="51" t="inlineStr">
        <is>
          <t>Mismatched Category (Found: Services)</t>
        </is>
      </c>
      <c r="J45" s="52" t="inlineStr">
        <is>
          <t>Reclassify to 'Accounts Receivable (A/R)'</t>
        </is>
      </c>
    </row>
    <row r="46">
      <c r="A46" s="50" t="n">
        <v>302</v>
      </c>
      <c r="B46" s="50" t="inlineStr">
        <is>
          <t>07/28/2026</t>
        </is>
      </c>
      <c r="C46" s="51" t="inlineStr">
        <is>
          <t>Uncategorized Income</t>
        </is>
      </c>
      <c r="D46" s="51" t="inlineStr">
        <is>
          <t>Deposit</t>
        </is>
      </c>
      <c r="E46" s="52" t="inlineStr">
        <is>
          <t>BKOFAMERICA MOBILE 07/29 37780</t>
        </is>
      </c>
      <c r="F46" s="51" t="inlineStr">
        <is>
          <t>BKOFAMERICA MOBILE 07/29 3778024504 DEPOSIT *MOBILE FL</t>
        </is>
      </c>
      <c r="G46" s="53" t="n">
        <v>2803.69</v>
      </c>
      <c r="H46" s="55" t="inlineStr">
        <is>
          <t>UNCATEGORIZED</t>
        </is>
      </c>
      <c r="I46" s="51" t="inlineStr">
        <is>
          <t>Uncategorized Transaction</t>
        </is>
      </c>
      <c r="J46" s="52" t="inlineStr">
        <is>
          <t>Assign to specific client invoice or expense account</t>
        </is>
      </c>
    </row>
    <row r="47">
      <c r="A47" s="50" t="n">
        <v>306</v>
      </c>
      <c r="B47" s="50" t="inlineStr">
        <is>
          <t>07/06/2026</t>
        </is>
      </c>
      <c r="C47" s="51" t="inlineStr">
        <is>
          <t>COGS - Vendor</t>
        </is>
      </c>
      <c r="D47" s="51" t="inlineStr">
        <is>
          <t>Bill</t>
        </is>
      </c>
      <c r="E47" s="52" t="inlineStr">
        <is>
          <t>Astramind Solutions Private Limited</t>
        </is>
      </c>
      <c r="F47" s="51" t="inlineStr">
        <is>
          <t>Offshore IT Support Services - June 2026</t>
        </is>
      </c>
      <c r="G47" s="53" t="n">
        <v>12675.9</v>
      </c>
      <c r="H47" s="56" t="inlineStr">
        <is>
          <t>CATEGORY MISMATCH</t>
        </is>
      </c>
      <c r="I47" s="51" t="inlineStr">
        <is>
          <t>Mismatched Category (Found: COGS - Vendor)</t>
        </is>
      </c>
      <c r="J47" s="52" t="inlineStr">
        <is>
          <t>Reclassify to 'Accounts Payable (A/P)'</t>
        </is>
      </c>
    </row>
    <row r="48">
      <c r="A48" s="50" t="n">
        <v>307</v>
      </c>
      <c r="B48" s="50" t="inlineStr">
        <is>
          <t>07/07/2026</t>
        </is>
      </c>
      <c r="C48" s="51" t="inlineStr">
        <is>
          <t>COGS - Vendor</t>
        </is>
      </c>
      <c r="D48" s="51" t="inlineStr">
        <is>
          <t>Bill</t>
        </is>
      </c>
      <c r="E48" s="52" t="inlineStr">
        <is>
          <t>Astramind Solutions Private Limited</t>
        </is>
      </c>
      <c r="F48" s="51" t="inlineStr">
        <is>
          <t>Offshore marketing and web development services - ₹9,02,720.00</t>
        </is>
      </c>
      <c r="G48" s="53" t="n">
        <v>9541.690000000001</v>
      </c>
      <c r="H48" s="56" t="inlineStr">
        <is>
          <t>CATEGORY MISMATCH</t>
        </is>
      </c>
      <c r="I48" s="51" t="inlineStr">
        <is>
          <t>Mismatched Category (Found: COGS - Vendor)</t>
        </is>
      </c>
      <c r="J48" s="52" t="inlineStr">
        <is>
          <t>Reclassify to 'Accounts Payable (A/P)'</t>
        </is>
      </c>
    </row>
    <row r="49">
      <c r="A49" s="50" t="n">
        <v>308</v>
      </c>
      <c r="B49" s="50" t="inlineStr">
        <is>
          <t>07/22/2026</t>
        </is>
      </c>
      <c r="C49" s="51" t="inlineStr">
        <is>
          <t>COGS - Vendor</t>
        </is>
      </c>
      <c r="D49" s="51" t="inlineStr">
        <is>
          <t>Bill</t>
        </is>
      </c>
      <c r="E49" s="52" t="inlineStr">
        <is>
          <t>Aneru LLC</t>
        </is>
      </c>
      <c r="F49" s="51" t="inlineStr"/>
      <c r="G49" s="53" t="n">
        <v>15556</v>
      </c>
      <c r="H49" s="56" t="inlineStr">
        <is>
          <t>CATEGORY MISMATCH</t>
        </is>
      </c>
      <c r="I49" s="51" t="inlineStr">
        <is>
          <t>Mismatched Category (Found: COGS - Vendor)</t>
        </is>
      </c>
      <c r="J49" s="52" t="inlineStr">
        <is>
          <t>Reclassify to 'Accounts Payable (A/P)'</t>
        </is>
      </c>
    </row>
    <row r="50">
      <c r="A50" s="50" t="n">
        <v>309</v>
      </c>
      <c r="B50" s="50" t="inlineStr">
        <is>
          <t>07/28/2026</t>
        </is>
      </c>
      <c r="C50" s="51" t="inlineStr">
        <is>
          <t>COGS - Vendor</t>
        </is>
      </c>
      <c r="D50" s="51" t="inlineStr">
        <is>
          <t>Bill</t>
        </is>
      </c>
      <c r="E50" s="52" t="inlineStr">
        <is>
          <t>PTL Consultancy</t>
        </is>
      </c>
      <c r="F50" s="51" t="inlineStr">
        <is>
          <t>India July 2026 Salaries -  SUBTOTAL INR 528,875.00</t>
        </is>
      </c>
      <c r="G50" s="53" t="n">
        <v>5546.55</v>
      </c>
      <c r="H50" s="56" t="inlineStr">
        <is>
          <t>CATEGORY MISMATCH</t>
        </is>
      </c>
      <c r="I50" s="51" t="inlineStr">
        <is>
          <t>Mismatched Category (Found: COGS - Vendor)</t>
        </is>
      </c>
      <c r="J50" s="52" t="inlineStr">
        <is>
          <t>Reclassify to 'Accounts Payable (A/P)'</t>
        </is>
      </c>
    </row>
    <row r="51">
      <c r="A51" s="50" t="n">
        <v>329</v>
      </c>
      <c r="B51" s="50" t="inlineStr">
        <is>
          <t>07/13/2026</t>
        </is>
      </c>
      <c r="C51" s="51" t="inlineStr">
        <is>
          <t>Dues &amp; subscriptions</t>
        </is>
      </c>
      <c r="D51" s="51" t="inlineStr">
        <is>
          <t>Expense</t>
        </is>
      </c>
      <c r="E51" s="52" t="inlineStr">
        <is>
          <t>OpenAI</t>
        </is>
      </c>
      <c r="F51" s="51" t="inlineStr">
        <is>
          <t>OPENAI *CHATGPT SUBSCR 4158799686 CA</t>
        </is>
      </c>
      <c r="G51" s="53" t="n">
        <v>20</v>
      </c>
      <c r="H51" s="56" t="inlineStr">
        <is>
          <t>CATEGORY MISMATCH</t>
        </is>
      </c>
      <c r="I51" s="51" t="inlineStr">
        <is>
          <t>Mismatched Category (Found: Dues &amp; subscriptions)</t>
        </is>
      </c>
      <c r="J51" s="52" t="inlineStr">
        <is>
          <t>Reclassify to 'Office expenses:Software &amp; apps'</t>
        </is>
      </c>
    </row>
    <row r="52">
      <c r="A52" s="50" t="n">
        <v>406</v>
      </c>
      <c r="B52" s="50" t="inlineStr">
        <is>
          <t>07/10/2026</t>
        </is>
      </c>
      <c r="C52" s="51" t="inlineStr">
        <is>
          <t>Office supplies</t>
        </is>
      </c>
      <c r="D52" s="51" t="inlineStr">
        <is>
          <t>Expense</t>
        </is>
      </c>
      <c r="E52" s="52" t="inlineStr">
        <is>
          <t>Banner Pest Services</t>
        </is>
      </c>
      <c r="F52" s="51" t="inlineStr">
        <is>
          <t>PY *BANNER PEST SERVSAN JOSE            CA</t>
        </is>
      </c>
      <c r="G52" s="53" t="n">
        <v>150</v>
      </c>
      <c r="H52" s="56" t="inlineStr">
        <is>
          <t>CATEGORY MISMATCH</t>
        </is>
      </c>
      <c r="I52" s="51" t="inlineStr">
        <is>
          <t>Mismatched Category (Found: Office supplies)</t>
        </is>
      </c>
      <c r="J52" s="52" t="inlineStr">
        <is>
          <t>Reclassify to 'Repairs &amp; maintenance'</t>
        </is>
      </c>
    </row>
    <row r="53">
      <c r="A53" s="50" t="n">
        <v>501</v>
      </c>
      <c r="B53" s="50" t="inlineStr">
        <is>
          <t>07/28/2026</t>
        </is>
      </c>
      <c r="C53" s="51" t="inlineStr">
        <is>
          <t>Phone service</t>
        </is>
      </c>
      <c r="D53" s="51" t="inlineStr">
        <is>
          <t>Credit Card Credit</t>
        </is>
      </c>
      <c r="E53" s="52" t="inlineStr">
        <is>
          <t>Amex CC</t>
        </is>
      </c>
      <c r="F53" s="51" t="inlineStr">
        <is>
          <t>AMEX Wireless Credit</t>
        </is>
      </c>
      <c r="G53" s="53" t="n">
        <v>-10</v>
      </c>
      <c r="H53" s="56" t="inlineStr">
        <is>
          <t>CATEGORY MISMATCH</t>
        </is>
      </c>
      <c r="I53" s="51" t="inlineStr">
        <is>
          <t>Mismatched Category (Found: Phone service)</t>
        </is>
      </c>
      <c r="J53" s="52" t="inlineStr">
        <is>
          <t>Reclassify to 'Amex CC'</t>
        </is>
      </c>
    </row>
  </sheetData>
  <mergeCells count="9">
    <mergeCell ref="A4:B4"/>
    <mergeCell ref="G4:H4"/>
    <mergeCell ref="E4:F4"/>
    <mergeCell ref="C5:D5"/>
    <mergeCell ref="A5:B5"/>
    <mergeCell ref="G5:H5"/>
    <mergeCell ref="E5:F5"/>
    <mergeCell ref="A1:H1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8"/>
  <sheetViews>
    <sheetView tabSelected="1" topLeftCell="A1" workbookViewId="0">
      <selection activeCell="A1" sqref="A1"/>
    </sheetView>
  </sheetViews>
  <sheetFormatPr baseColWidth="8" defaultColWidth="11.255" defaultRowHeight="16"/>
  <cols>
    <col width="45" customWidth="1" style="27" min="1" max="1"/>
    <col width="30" customWidth="1" style="27" min="2" max="2"/>
    <col width="19" customWidth="1" style="27" min="3" max="3"/>
    <col width="23" customWidth="1" style="27" min="4" max="4"/>
    <col width="18" customWidth="1" style="27" min="5" max="5"/>
    <col width="38" customWidth="1" style="27" min="6" max="6"/>
    <col width="45" customWidth="1" style="27" min="7" max="7"/>
    <col width="45" customWidth="1" style="27" min="8" max="8"/>
    <col width="45" customWidth="1" style="27" min="9" max="9"/>
    <col width="21" customWidth="1" style="27" min="10" max="10"/>
    <col width="20" customWidth="1" min="11" max="11"/>
    <col width="45" customWidth="1" min="12" max="12"/>
  </cols>
  <sheetData>
    <row r="1" ht="16" customHeight="1">
      <c r="A1" s="33" t="inlineStr">
        <is>
          <t>VIRTUSSOLUTIONS LLC</t>
        </is>
      </c>
    </row>
    <row r="2" ht="16" customHeight="1">
      <c r="A2" s="34" t="inlineStr">
        <is>
          <t>General Ledger</t>
        </is>
      </c>
    </row>
    <row r="3" ht="16" customHeight="1">
      <c r="A3" s="35" t="inlineStr">
        <is>
          <t>July 2026</t>
        </is>
      </c>
    </row>
    <row r="4"/>
    <row r="5" ht="16" customHeight="1">
      <c r="B5" s="28" t="inlineStr">
        <is>
          <t>Distribution account</t>
        </is>
      </c>
      <c r="C5" s="28" t="inlineStr">
        <is>
          <t>Transaction date</t>
        </is>
      </c>
      <c r="D5" s="28" t="inlineStr">
        <is>
          <t>Transaction type</t>
        </is>
      </c>
      <c r="E5" s="28" t="inlineStr">
        <is>
          <t>Num</t>
        </is>
      </c>
      <c r="F5" s="28" t="inlineStr">
        <is>
          <t>Name</t>
        </is>
      </c>
      <c r="G5" s="28" t="inlineStr">
        <is>
          <t>Description</t>
        </is>
      </c>
      <c r="H5" s="28" t="inlineStr">
        <is>
          <t>Split</t>
        </is>
      </c>
      <c r="I5" s="28" t="inlineStr">
        <is>
          <t>Amount</t>
        </is>
      </c>
      <c r="J5" s="28" t="inlineStr">
        <is>
          <t>Balance</t>
        </is>
      </c>
      <c r="K5" s="49" t="inlineStr">
        <is>
          <t>Audit Status</t>
        </is>
      </c>
      <c r="L5" s="49" t="inlineStr">
        <is>
          <t>Audit Details &amp; Suggested Category</t>
        </is>
      </c>
    </row>
    <row r="6" ht="16" customHeight="1">
      <c r="A6" s="36" t="inlineStr">
        <is>
          <t>Bank of America</t>
        </is>
      </c>
    </row>
    <row r="7" ht="16" customHeight="1">
      <c r="B7" s="26" t="inlineStr">
        <is>
          <t>Beginning Balance</t>
        </is>
      </c>
      <c r="J7" s="57" t="n">
        <v>77388.92</v>
      </c>
    </row>
    <row r="8" ht="16" customHeight="1">
      <c r="B8" s="58" t="inlineStr">
        <is>
          <t>Bank of America</t>
        </is>
      </c>
      <c r="C8" s="58" t="inlineStr">
        <is>
          <t>07/01/2026</t>
        </is>
      </c>
      <c r="D8" s="58" t="inlineStr">
        <is>
          <t>Expense</t>
        </is>
      </c>
      <c r="E8" s="58" t="inlineStr"/>
      <c r="F8" s="58" t="inlineStr"/>
      <c r="G8" s="58" t="inlineStr">
        <is>
          <t>ADP 401k DES:ADP 401k ID:LE7RA 063012V02 INDN:VIRTUSSOLUTIONS LLC CO ID:1941711111 CCD</t>
        </is>
      </c>
      <c r="H8" s="58" t="inlineStr">
        <is>
          <t>401K Payable</t>
        </is>
      </c>
      <c r="I8" s="59" t="n">
        <v>-583.26</v>
      </c>
      <c r="J8" s="59" t="n">
        <v>76805.66</v>
      </c>
      <c r="K8" s="60" t="inlineStr">
        <is>
          <t>MATCHED</t>
        </is>
      </c>
      <c r="L8" s="61" t="inlineStr">
        <is>
          <t>Matched to historical category: 401K Payable</t>
        </is>
      </c>
    </row>
    <row r="9" ht="16" customHeight="1">
      <c r="B9" s="58" t="inlineStr">
        <is>
          <t>Bank of America</t>
        </is>
      </c>
      <c r="C9" s="58" t="inlineStr">
        <is>
          <t>07/01/2026</t>
        </is>
      </c>
      <c r="D9" s="58" t="inlineStr">
        <is>
          <t>Bill Payment (Check)</t>
        </is>
      </c>
      <c r="E9" s="58" t="inlineStr">
        <is>
          <t>VSL06012026</t>
        </is>
      </c>
      <c r="F9" s="58" t="inlineStr">
        <is>
          <t>PTL Consultancy</t>
        </is>
      </c>
      <c r="G9" s="58" t="inlineStr"/>
      <c r="H9" s="58" t="inlineStr">
        <is>
          <t>Accounts Payable (A/P)</t>
        </is>
      </c>
      <c r="I9" s="59" t="n">
        <v>-5301.04</v>
      </c>
      <c r="J9" s="59" t="n">
        <v>71504.62000000001</v>
      </c>
      <c r="K9" s="60" t="inlineStr">
        <is>
          <t>MATCHED</t>
        </is>
      </c>
      <c r="L9" s="61" t="inlineStr">
        <is>
          <t>Matched to historical category: Accounts Payable (A/P)</t>
        </is>
      </c>
    </row>
    <row r="10" ht="16" customHeight="1">
      <c r="B10" s="58" t="inlineStr">
        <is>
          <t>Bank of America</t>
        </is>
      </c>
      <c r="C10" s="58" t="inlineStr">
        <is>
          <t>07/01/2026</t>
        </is>
      </c>
      <c r="D10" s="58" t="inlineStr">
        <is>
          <t>Bill Payment (Check)</t>
        </is>
      </c>
      <c r="E10" s="58" t="inlineStr">
        <is>
          <t>VSL053126</t>
        </is>
      </c>
      <c r="F10" s="58" t="inlineStr">
        <is>
          <t>PTL Consultancy</t>
        </is>
      </c>
      <c r="G10" s="58" t="inlineStr"/>
      <c r="H10" s="58" t="inlineStr">
        <is>
          <t>Accounts Payable (A/P)</t>
        </is>
      </c>
      <c r="I10" s="59" t="n">
        <v>-8584.59</v>
      </c>
      <c r="J10" s="59" t="n">
        <v>62920.03000000001</v>
      </c>
      <c r="K10" s="60" t="inlineStr">
        <is>
          <t>MATCHED</t>
        </is>
      </c>
      <c r="L10" s="61" t="inlineStr">
        <is>
          <t>Matched to historical category: Accounts Payable (A/P)</t>
        </is>
      </c>
    </row>
    <row r="11" ht="16" customHeight="1">
      <c r="B11" s="58" t="inlineStr">
        <is>
          <t>Bank of America</t>
        </is>
      </c>
      <c r="C11" s="58" t="inlineStr">
        <is>
          <t>07/02/2026</t>
        </is>
      </c>
      <c r="D11" s="58" t="inlineStr">
        <is>
          <t>Payment</t>
        </is>
      </c>
      <c r="E11" s="58" t="inlineStr"/>
      <c r="F11" s="58" t="inlineStr">
        <is>
          <t>Medix Staffing Solutions, LLC,</t>
        </is>
      </c>
      <c r="G11" s="58" t="inlineStr"/>
      <c r="H11" s="58" t="inlineStr">
        <is>
          <t>Accounts Receivable (A/R)</t>
        </is>
      </c>
      <c r="I11" s="59" t="n">
        <v>3340</v>
      </c>
      <c r="J11" s="59" t="n">
        <v>66260.03000000001</v>
      </c>
      <c r="K11" s="60" t="inlineStr">
        <is>
          <t>MATCHED</t>
        </is>
      </c>
      <c r="L11" s="61" t="inlineStr">
        <is>
          <t>Matched to historical category: Accounts Receivable (A/R)</t>
        </is>
      </c>
    </row>
    <row r="12" ht="16" customHeight="1">
      <c r="B12" s="58" t="inlineStr">
        <is>
          <t>Bank of America</t>
        </is>
      </c>
      <c r="C12" s="58" t="inlineStr">
        <is>
          <t>07/02/2026</t>
        </is>
      </c>
      <c r="D12" s="58" t="inlineStr">
        <is>
          <t>Payment</t>
        </is>
      </c>
      <c r="E12" s="58" t="inlineStr"/>
      <c r="F12" s="58" t="inlineStr">
        <is>
          <t>Phoenix Staff Inc</t>
        </is>
      </c>
      <c r="G12" s="58" t="inlineStr"/>
      <c r="H12" s="58" t="inlineStr">
        <is>
          <t>Accounts Receivable (A/R)</t>
        </is>
      </c>
      <c r="I12" s="59" t="n">
        <v>5520</v>
      </c>
      <c r="J12" s="59" t="n">
        <v>71780.03000000001</v>
      </c>
      <c r="K12" s="60" t="inlineStr">
        <is>
          <t>MATCHED</t>
        </is>
      </c>
      <c r="L12" s="61" t="inlineStr">
        <is>
          <t>Matched to historical category: Accounts Receivable (A/R)</t>
        </is>
      </c>
    </row>
    <row r="13" ht="16" customHeight="1">
      <c r="B13" s="58" t="inlineStr">
        <is>
          <t>Bank of America</t>
        </is>
      </c>
      <c r="C13" s="58" t="inlineStr">
        <is>
          <t>07/03/2026</t>
        </is>
      </c>
      <c r="D13" s="58" t="inlineStr">
        <is>
          <t>Expense</t>
        </is>
      </c>
      <c r="E13" s="58" t="inlineStr"/>
      <c r="F13" s="58" t="inlineStr"/>
      <c r="G13" s="58" t="inlineStr">
        <is>
          <t>ADP PAYROLL FEES DES:ADP FEES ID:943439543612 INDN:724551477VIRTUSSOLUTIO CO ID:9659605001 CCD</t>
        </is>
      </c>
      <c r="H13" s="58" t="inlineStr">
        <is>
          <t>Payroll expenses:Payroll Processing Fee</t>
        </is>
      </c>
      <c r="I13" s="59" t="n">
        <v>-280</v>
      </c>
      <c r="J13" s="59" t="n">
        <v>71500.03000000001</v>
      </c>
      <c r="K13" s="60" t="inlineStr">
        <is>
          <t>MATCHED</t>
        </is>
      </c>
      <c r="L13" s="61" t="inlineStr">
        <is>
          <t>Matched to historical category: Payroll expenses:Payroll Processing Fee</t>
        </is>
      </c>
    </row>
    <row r="14" ht="16" customHeight="1">
      <c r="B14" s="58" t="inlineStr">
        <is>
          <t>Bank of America</t>
        </is>
      </c>
      <c r="C14" s="58" t="inlineStr">
        <is>
          <t>07/03/2026</t>
        </is>
      </c>
      <c r="D14" s="58" t="inlineStr">
        <is>
          <t>Expense</t>
        </is>
      </c>
      <c r="E14" s="58" t="inlineStr"/>
      <c r="F14" s="58" t="inlineStr"/>
      <c r="G14" s="58" t="inlineStr">
        <is>
          <t>ADP PAYROLL FEES DES:ADP FEES ID:943439543613 INDN:724540323VIRTUSSOLUTIO CO ID:9659605001 CCD</t>
        </is>
      </c>
      <c r="H14" s="58" t="inlineStr">
        <is>
          <t>Payroll expenses:Payroll Processing Fee</t>
        </is>
      </c>
      <c r="I14" s="59" t="n">
        <v>-219.56</v>
      </c>
      <c r="J14" s="59" t="n">
        <v>71280.47000000002</v>
      </c>
      <c r="K14" s="60" t="inlineStr">
        <is>
          <t>MATCHED</t>
        </is>
      </c>
      <c r="L14" s="61" t="inlineStr">
        <is>
          <t>Matched to historical category: Payroll expenses:Payroll Processing Fee</t>
        </is>
      </c>
    </row>
    <row r="15" ht="16" customHeight="1">
      <c r="B15" s="58" t="inlineStr">
        <is>
          <t>Bank of America</t>
        </is>
      </c>
      <c r="C15" s="58" t="inlineStr">
        <is>
          <t>07/03/2026</t>
        </is>
      </c>
      <c r="D15" s="58" t="inlineStr">
        <is>
          <t>Payment</t>
        </is>
      </c>
      <c r="E15" s="58" t="inlineStr"/>
      <c r="F15" s="58" t="inlineStr">
        <is>
          <t>Randstand Digital</t>
        </is>
      </c>
      <c r="G15" s="58" t="inlineStr"/>
      <c r="H15" s="58" t="inlineStr">
        <is>
          <t>Accounts Receivable (A/R)</t>
        </is>
      </c>
      <c r="I15" s="59" t="n">
        <v>3244</v>
      </c>
      <c r="J15" s="59" t="n">
        <v>74524.47000000002</v>
      </c>
      <c r="K15" s="60" t="inlineStr">
        <is>
          <t>MATCHED</t>
        </is>
      </c>
      <c r="L15" s="61" t="inlineStr">
        <is>
          <t>Matched to historical category: Accounts Receivable (A/R)</t>
        </is>
      </c>
    </row>
    <row r="16" ht="16" customHeight="1">
      <c r="B16" s="58" t="inlineStr">
        <is>
          <t>Bank of America</t>
        </is>
      </c>
      <c r="C16" s="58" t="inlineStr">
        <is>
          <t>07/06/2026</t>
        </is>
      </c>
      <c r="D16" s="58" t="inlineStr">
        <is>
          <t>Bill Payment (Check)</t>
        </is>
      </c>
      <c r="E16" s="58" t="inlineStr">
        <is>
          <t>ASM044</t>
        </is>
      </c>
      <c r="F16" s="58" t="inlineStr">
        <is>
          <t>Astramind Solutions Private Limited</t>
        </is>
      </c>
      <c r="G16" s="58" t="inlineStr"/>
      <c r="H16" s="58" t="inlineStr">
        <is>
          <t>Accounts Payable (A/P)</t>
        </is>
      </c>
      <c r="I16" s="59" t="n">
        <v>-12675.9</v>
      </c>
      <c r="J16" s="59" t="n">
        <v>61848.57000000001</v>
      </c>
      <c r="K16" s="60" t="inlineStr">
        <is>
          <t>MATCHED</t>
        </is>
      </c>
      <c r="L16" s="61" t="inlineStr">
        <is>
          <t>Matched to historical category: Accounts Payable (A/P)</t>
        </is>
      </c>
    </row>
    <row r="17" ht="16" customHeight="1">
      <c r="B17" s="58" t="inlineStr">
        <is>
          <t>Bank of America</t>
        </is>
      </c>
      <c r="C17" s="58" t="inlineStr">
        <is>
          <t>07/07/2026</t>
        </is>
      </c>
      <c r="D17" s="58" t="inlineStr">
        <is>
          <t>Payment</t>
        </is>
      </c>
      <c r="E17" s="58" t="inlineStr"/>
      <c r="F17" s="58" t="inlineStr">
        <is>
          <t>Sanvi Consulting Services LLC</t>
        </is>
      </c>
      <c r="G17" s="58" t="inlineStr"/>
      <c r="H17" s="58" t="inlineStr">
        <is>
          <t>Accounts Receivable (A/R)</t>
        </is>
      </c>
      <c r="I17" s="59" t="n">
        <v>7568</v>
      </c>
      <c r="J17" s="59" t="n">
        <v>69416.57000000001</v>
      </c>
      <c r="K17" s="60" t="inlineStr">
        <is>
          <t>MATCHED</t>
        </is>
      </c>
      <c r="L17" s="61" t="inlineStr">
        <is>
          <t>Matched to historical category: Accounts Receivable (A/R)</t>
        </is>
      </c>
    </row>
    <row r="18" ht="16" customHeight="1">
      <c r="B18" s="58" t="inlineStr">
        <is>
          <t>Bank of America</t>
        </is>
      </c>
      <c r="C18" s="58" t="inlineStr">
        <is>
          <t>07/07/2026</t>
        </is>
      </c>
      <c r="D18" s="58" t="inlineStr">
        <is>
          <t>Payment</t>
        </is>
      </c>
      <c r="E18" s="58" t="inlineStr"/>
      <c r="F18" s="58" t="inlineStr">
        <is>
          <t>Infinite Computer Solutions Inc.</t>
        </is>
      </c>
      <c r="G18" s="58" t="inlineStr"/>
      <c r="H18" s="58" t="inlineStr">
        <is>
          <t>Accounts Receivable (A/R)</t>
        </is>
      </c>
      <c r="I18" s="59" t="n">
        <v>10795.2</v>
      </c>
      <c r="J18" s="59" t="n">
        <v>80211.77</v>
      </c>
      <c r="K18" s="60" t="inlineStr">
        <is>
          <t>MATCHED</t>
        </is>
      </c>
      <c r="L18" s="61" t="inlineStr">
        <is>
          <t>Matched to historical category: Accounts Receivable (A/R)</t>
        </is>
      </c>
    </row>
    <row r="19" ht="16" customHeight="1">
      <c r="B19" s="58" t="inlineStr">
        <is>
          <t>Bank of America</t>
        </is>
      </c>
      <c r="C19" s="58" t="inlineStr">
        <is>
          <t>07/08/2026</t>
        </is>
      </c>
      <c r="D19" s="58" t="inlineStr">
        <is>
          <t>Payment</t>
        </is>
      </c>
      <c r="E19" s="58" t="inlineStr"/>
      <c r="F19" s="58" t="inlineStr">
        <is>
          <t>Nityo Infotech Corporation</t>
        </is>
      </c>
      <c r="G19" s="58" t="inlineStr"/>
      <c r="H19" s="58" t="inlineStr">
        <is>
          <t>Accounts Receivable (A/R)</t>
        </is>
      </c>
      <c r="I19" s="59" t="n">
        <v>11674.24</v>
      </c>
      <c r="J19" s="59" t="n">
        <v>91886.01000000001</v>
      </c>
      <c r="K19" s="60" t="inlineStr">
        <is>
          <t>MATCHED</t>
        </is>
      </c>
      <c r="L19" s="61" t="inlineStr">
        <is>
          <t>Matched to historical category: Accounts Receivable (A/R)</t>
        </is>
      </c>
    </row>
    <row r="20" ht="16" customHeight="1">
      <c r="B20" s="58" t="inlineStr">
        <is>
          <t>Bank of America</t>
        </is>
      </c>
      <c r="C20" s="58" t="inlineStr">
        <is>
          <t>07/08/2026</t>
        </is>
      </c>
      <c r="D20" s="58" t="inlineStr">
        <is>
          <t>Expense</t>
        </is>
      </c>
      <c r="E20" s="58" t="inlineStr"/>
      <c r="F20" s="58" t="inlineStr">
        <is>
          <t>Global Immigration Partn</t>
        </is>
      </c>
      <c r="G20" s="58" t="inlineStr">
        <is>
          <t>GLOBALIMMIGRATIO DES:WEBPAYMENT ID: INDN:SNEHA DATLA CO ID:3383693141 WEB</t>
        </is>
      </c>
      <c r="H20" s="58" t="inlineStr">
        <is>
          <t>Immigration Expenses</t>
        </is>
      </c>
      <c r="I20" s="59" t="n">
        <v>-1200</v>
      </c>
      <c r="J20" s="59" t="n">
        <v>90686.01000000001</v>
      </c>
      <c r="K20" s="60" t="inlineStr">
        <is>
          <t>MATCHED</t>
        </is>
      </c>
      <c r="L20" s="61" t="inlineStr">
        <is>
          <t>Matched to historical category: Immigration Expenses</t>
        </is>
      </c>
    </row>
    <row r="21" ht="16" customHeight="1">
      <c r="B21" s="58" t="inlineStr">
        <is>
          <t>Bank of America</t>
        </is>
      </c>
      <c r="C21" s="58" t="inlineStr">
        <is>
          <t>07/08/2026</t>
        </is>
      </c>
      <c r="D21" s="58" t="inlineStr">
        <is>
          <t>Bill Payment (Check)</t>
        </is>
      </c>
      <c r="E21" s="58" t="inlineStr">
        <is>
          <t>ASM045</t>
        </is>
      </c>
      <c r="F21" s="58" t="inlineStr">
        <is>
          <t>Astramind Solutions Private Limited</t>
        </is>
      </c>
      <c r="G21" s="58" t="inlineStr"/>
      <c r="H21" s="58" t="inlineStr">
        <is>
          <t>Accounts Payable (A/P)</t>
        </is>
      </c>
      <c r="I21" s="59" t="n">
        <v>-9541.690000000001</v>
      </c>
      <c r="J21" s="59" t="n">
        <v>81144.32000000001</v>
      </c>
      <c r="K21" s="60" t="inlineStr">
        <is>
          <t>MATCHED</t>
        </is>
      </c>
      <c r="L21" s="61" t="inlineStr">
        <is>
          <t>Matched to historical category: Accounts Payable (A/P)</t>
        </is>
      </c>
    </row>
    <row r="22" ht="16" customHeight="1">
      <c r="B22" s="58" t="inlineStr">
        <is>
          <t>Bank of America</t>
        </is>
      </c>
      <c r="C22" s="58" t="inlineStr">
        <is>
          <t>07/10/2026</t>
        </is>
      </c>
      <c r="D22" s="58" t="inlineStr">
        <is>
          <t>Payment</t>
        </is>
      </c>
      <c r="E22" s="58" t="inlineStr">
        <is>
          <t>031000500153478</t>
        </is>
      </c>
      <c r="F22" s="58" t="inlineStr">
        <is>
          <t>Randstand Digital</t>
        </is>
      </c>
      <c r="G22" s="58" t="inlineStr"/>
      <c r="H22" s="58" t="inlineStr">
        <is>
          <t>Accounts Receivable (A/R)</t>
        </is>
      </c>
      <c r="I22" s="59" t="n">
        <v>3244</v>
      </c>
      <c r="J22" s="59" t="n">
        <v>84388.32000000001</v>
      </c>
      <c r="K22" s="60" t="inlineStr">
        <is>
          <t>MATCHED</t>
        </is>
      </c>
      <c r="L22" s="61" t="inlineStr">
        <is>
          <t>Matched to historical category: Accounts Receivable (A/R)</t>
        </is>
      </c>
    </row>
    <row r="23" ht="16" customHeight="1">
      <c r="B23" s="58" t="inlineStr">
        <is>
          <t>Bank of America</t>
        </is>
      </c>
      <c r="C23" s="58" t="inlineStr">
        <is>
          <t>07/10/2026</t>
        </is>
      </c>
      <c r="D23" s="58" t="inlineStr">
        <is>
          <t>Payment</t>
        </is>
      </c>
      <c r="E23" s="58" t="inlineStr"/>
      <c r="F23" s="58" t="inlineStr">
        <is>
          <t>Medix Staffing Solutions, LLC,</t>
        </is>
      </c>
      <c r="G23" s="58" t="inlineStr"/>
      <c r="H23" s="58" t="inlineStr">
        <is>
          <t>Accounts Receivable (A/R)</t>
        </is>
      </c>
      <c r="I23" s="59" t="n">
        <v>2672</v>
      </c>
      <c r="J23" s="59" t="n">
        <v>87060.32000000001</v>
      </c>
      <c r="K23" s="60" t="inlineStr">
        <is>
          <t>MATCHED</t>
        </is>
      </c>
      <c r="L23" s="61" t="inlineStr">
        <is>
          <t>Matched to historical category: Accounts Receivable (A/R)</t>
        </is>
      </c>
    </row>
    <row r="24" ht="16" customHeight="1">
      <c r="B24" s="58" t="inlineStr">
        <is>
          <t>Bank of America</t>
        </is>
      </c>
      <c r="C24" s="58" t="inlineStr">
        <is>
          <t>07/14/2026</t>
        </is>
      </c>
      <c r="D24" s="58" t="inlineStr">
        <is>
          <t>Expense</t>
        </is>
      </c>
      <c r="E24" s="58" t="inlineStr"/>
      <c r="F24" s="58" t="inlineStr"/>
      <c r="G24" s="58" t="inlineStr">
        <is>
          <t>APWD Bill Payment</t>
        </is>
      </c>
      <c r="H24" s="58" t="inlineStr">
        <is>
          <t>Utilities:Water &amp; sewer</t>
        </is>
      </c>
      <c r="I24" s="59" t="n">
        <v>-250</v>
      </c>
      <c r="J24" s="59" t="n">
        <v>86810.32000000001</v>
      </c>
      <c r="K24" s="60" t="inlineStr">
        <is>
          <t>MATCHED</t>
        </is>
      </c>
      <c r="L24" s="61" t="inlineStr">
        <is>
          <t>Standard ledger entry</t>
        </is>
      </c>
    </row>
    <row r="25" ht="16" customHeight="1">
      <c r="B25" s="58" t="inlineStr">
        <is>
          <t>Bank of America</t>
        </is>
      </c>
      <c r="C25" s="58" t="inlineStr">
        <is>
          <t>07/14/2026</t>
        </is>
      </c>
      <c r="D25" s="58" t="inlineStr">
        <is>
          <t>Expense</t>
        </is>
      </c>
      <c r="E25" s="58" t="inlineStr"/>
      <c r="F25" s="58" t="inlineStr"/>
      <c r="G25" s="58" t="inlineStr">
        <is>
          <t>ADP Tax DES:ADP Tax ID:LE7RA 071513A01 INDN:VIRTUSSOLUTIONS LLC CO ID:1941711111 CCD</t>
        </is>
      </c>
      <c r="H25" s="58" t="inlineStr">
        <is>
          <t>Payroll wages and tax to pay:Payroll tax to pay</t>
        </is>
      </c>
      <c r="I25" s="59" t="n">
        <v>-9485.18</v>
      </c>
      <c r="J25" s="59" t="n">
        <v>77325.14000000001</v>
      </c>
      <c r="K25" s="60" t="inlineStr">
        <is>
          <t>MATCHED</t>
        </is>
      </c>
      <c r="L25" s="61" t="inlineStr">
        <is>
          <t>Matched to historical category: Payroll wages and tax to pay:Payroll tax to pay</t>
        </is>
      </c>
    </row>
    <row r="26" ht="16" customHeight="1">
      <c r="B26" s="58" t="inlineStr">
        <is>
          <t>Bank of America</t>
        </is>
      </c>
      <c r="C26" s="58" t="inlineStr">
        <is>
          <t>07/14/2026</t>
        </is>
      </c>
      <c r="D26" s="58" t="inlineStr">
        <is>
          <t>Expense</t>
        </is>
      </c>
      <c r="E26" s="58" t="inlineStr"/>
      <c r="F26" s="58" t="inlineStr"/>
      <c r="G26" s="58" t="inlineStr">
        <is>
          <t>ADP WAGE PAY DES:WAGE PAY ID:9325421977907RA INDN:VIRTUSSOLUTIONS LLC VI CO ID:9333006057 CCD</t>
        </is>
      </c>
      <c r="H26" s="58" t="inlineStr">
        <is>
          <t>Payroll Wages Payable</t>
        </is>
      </c>
      <c r="I26" s="59" t="n">
        <v>-26906.33</v>
      </c>
      <c r="J26" s="59" t="n">
        <v>50418.81000000001</v>
      </c>
      <c r="K26" s="60" t="inlineStr">
        <is>
          <t>MATCHED</t>
        </is>
      </c>
      <c r="L26" s="61" t="inlineStr">
        <is>
          <t>Standard ledger entry</t>
        </is>
      </c>
    </row>
    <row r="27" ht="16" customHeight="1">
      <c r="B27" s="58" t="inlineStr">
        <is>
          <t>Bank of America</t>
        </is>
      </c>
      <c r="C27" s="58" t="inlineStr">
        <is>
          <t>07/15/2026</t>
        </is>
      </c>
      <c r="D27" s="58" t="inlineStr">
        <is>
          <t>Payment</t>
        </is>
      </c>
      <c r="E27" s="58" t="inlineStr"/>
      <c r="F27" s="58" t="inlineStr">
        <is>
          <t>Bigbyte</t>
        </is>
      </c>
      <c r="G27" s="58" t="inlineStr"/>
      <c r="H27" s="58" t="inlineStr">
        <is>
          <t>Accounts Receivable (A/R)</t>
        </is>
      </c>
      <c r="I27" s="59" t="n">
        <v>11256</v>
      </c>
      <c r="J27" s="59" t="n">
        <v>61674.81000000001</v>
      </c>
      <c r="K27" s="60" t="inlineStr">
        <is>
          <t>MATCHED</t>
        </is>
      </c>
      <c r="L27" s="61" t="inlineStr">
        <is>
          <t>Matched to historical category: Accounts Receivable (A/R)</t>
        </is>
      </c>
    </row>
    <row r="28" ht="16" customHeight="1">
      <c r="B28" s="58" t="inlineStr">
        <is>
          <t>Bank of America</t>
        </is>
      </c>
      <c r="C28" s="58" t="inlineStr">
        <is>
          <t>07/15/2026</t>
        </is>
      </c>
      <c r="D28" s="58" t="inlineStr">
        <is>
          <t>Payment</t>
        </is>
      </c>
      <c r="E28" s="58" t="inlineStr"/>
      <c r="F28" s="58" t="inlineStr">
        <is>
          <t>AGILISIUM CONSULTING LLC</t>
        </is>
      </c>
      <c r="G28" s="58" t="inlineStr"/>
      <c r="H28" s="58" t="inlineStr">
        <is>
          <t>Accounts Receivable (A/R)</t>
        </is>
      </c>
      <c r="I28" s="59" t="n">
        <v>3520</v>
      </c>
      <c r="J28" s="59" t="n">
        <v>65194.81000000001</v>
      </c>
      <c r="K28" s="60" t="inlineStr">
        <is>
          <t>MATCHED</t>
        </is>
      </c>
      <c r="L28" s="61" t="inlineStr">
        <is>
          <t>Matched to historical category: Accounts Receivable (A/R)</t>
        </is>
      </c>
    </row>
    <row r="29" ht="16" customHeight="1">
      <c r="B29" s="58" t="inlineStr">
        <is>
          <t>Bank of America</t>
        </is>
      </c>
      <c r="C29" s="58" t="inlineStr">
        <is>
          <t>07/15/2026</t>
        </is>
      </c>
      <c r="D29" s="58" t="inlineStr">
        <is>
          <t>Expense</t>
        </is>
      </c>
      <c r="E29" s="58" t="inlineStr"/>
      <c r="F29" s="58" t="inlineStr"/>
      <c r="G29" s="58" t="inlineStr">
        <is>
          <t>FRANCHISE TAX BO DES:PAYMENTS ID:132441137 PM INDN:VIRTUSSO CO ID:1282532045 CCD</t>
        </is>
      </c>
      <c r="H29" s="58" t="inlineStr">
        <is>
          <t>Taxes paid</t>
        </is>
      </c>
      <c r="I29" s="59" t="n">
        <v>-853</v>
      </c>
      <c r="J29" s="59" t="n">
        <v>64341.81000000001</v>
      </c>
      <c r="K29" s="60" t="inlineStr">
        <is>
          <t>MATCHED</t>
        </is>
      </c>
      <c r="L29" s="61" t="inlineStr">
        <is>
          <t>Standard ledger entry</t>
        </is>
      </c>
    </row>
    <row r="30" ht="16" customHeight="1">
      <c r="B30" s="58" t="inlineStr">
        <is>
          <t>Bank of America</t>
        </is>
      </c>
      <c r="C30" s="58" t="inlineStr">
        <is>
          <t>07/16/2026</t>
        </is>
      </c>
      <c r="D30" s="58" t="inlineStr">
        <is>
          <t>Expense</t>
        </is>
      </c>
      <c r="E30" s="58" t="inlineStr"/>
      <c r="F30" s="58" t="inlineStr"/>
      <c r="G30" s="58" t="inlineStr">
        <is>
          <t>ADP 401k DES:ADP 401k ID:LE7RA 071513V02 INDN:VIRTUSSOLUTIONS LLC CO ID:1941711111 CCD</t>
        </is>
      </c>
      <c r="H30" s="58" t="inlineStr">
        <is>
          <t>401K Payable</t>
        </is>
      </c>
      <c r="I30" s="59" t="n">
        <v>-445.98</v>
      </c>
      <c r="J30" s="59" t="n">
        <v>63895.83000000001</v>
      </c>
      <c r="K30" s="60" t="inlineStr">
        <is>
          <t>MATCHED</t>
        </is>
      </c>
      <c r="L30" s="61" t="inlineStr">
        <is>
          <t>Matched to historical category: 401K Payable</t>
        </is>
      </c>
    </row>
    <row r="31" ht="16" customHeight="1">
      <c r="B31" s="58" t="inlineStr">
        <is>
          <t>Bank of America</t>
        </is>
      </c>
      <c r="C31" s="58" t="inlineStr">
        <is>
          <t>07/16/2026</t>
        </is>
      </c>
      <c r="D31" s="58" t="inlineStr">
        <is>
          <t>Bill Payment (Check)</t>
        </is>
      </c>
      <c r="E31" s="58" t="inlineStr">
        <is>
          <t>VSL053026</t>
        </is>
      </c>
      <c r="F31" s="58" t="inlineStr">
        <is>
          <t>PTL Consultancy</t>
        </is>
      </c>
      <c r="G31" s="58" t="inlineStr"/>
      <c r="H31" s="58" t="inlineStr">
        <is>
          <t>Accounts Payable (A/P)</t>
        </is>
      </c>
      <c r="I31" s="59" t="n">
        <v>-7917.37</v>
      </c>
      <c r="J31" s="59" t="n">
        <v>55978.46000000001</v>
      </c>
      <c r="K31" s="60" t="inlineStr">
        <is>
          <t>MATCHED</t>
        </is>
      </c>
      <c r="L31" s="61" t="inlineStr">
        <is>
          <t>Matched to historical category: Accounts Payable (A/P)</t>
        </is>
      </c>
    </row>
    <row r="32" ht="16" customHeight="1">
      <c r="B32" s="58" t="inlineStr">
        <is>
          <t>Bank of America</t>
        </is>
      </c>
      <c r="C32" s="58" t="inlineStr">
        <is>
          <t>07/17/2026</t>
        </is>
      </c>
      <c r="D32" s="58" t="inlineStr">
        <is>
          <t>Payment</t>
        </is>
      </c>
      <c r="E32" s="58" t="inlineStr"/>
      <c r="F32" s="58" t="inlineStr">
        <is>
          <t>Phoenix Staff Inc</t>
        </is>
      </c>
      <c r="G32" s="58" t="inlineStr"/>
      <c r="H32" s="58" t="inlineStr">
        <is>
          <t>Accounts Receivable (A/R)</t>
        </is>
      </c>
      <c r="I32" s="59" t="n">
        <v>4968</v>
      </c>
      <c r="J32" s="59" t="n">
        <v>60946.46000000001</v>
      </c>
      <c r="K32" s="60" t="inlineStr">
        <is>
          <t>MATCHED</t>
        </is>
      </c>
      <c r="L32" s="61" t="inlineStr">
        <is>
          <t>Matched to historical category: Accounts Receivable (A/R)</t>
        </is>
      </c>
    </row>
    <row r="33" ht="16" customHeight="1">
      <c r="B33" s="58" t="inlineStr">
        <is>
          <t>Bank of America</t>
        </is>
      </c>
      <c r="C33" s="58" t="inlineStr">
        <is>
          <t>07/17/2026</t>
        </is>
      </c>
      <c r="D33" s="58" t="inlineStr">
        <is>
          <t>Payment</t>
        </is>
      </c>
      <c r="E33" s="58" t="inlineStr">
        <is>
          <t>031000500153852</t>
        </is>
      </c>
      <c r="F33" s="58" t="inlineStr">
        <is>
          <t>Randstand Digital</t>
        </is>
      </c>
      <c r="G33" s="58" t="inlineStr"/>
      <c r="H33" s="58" t="inlineStr">
        <is>
          <t>Accounts Receivable (A/R)</t>
        </is>
      </c>
      <c r="I33" s="59" t="n">
        <v>2595.2</v>
      </c>
      <c r="J33" s="59" t="n">
        <v>63541.66</v>
      </c>
      <c r="K33" s="60" t="inlineStr">
        <is>
          <t>MATCHED</t>
        </is>
      </c>
      <c r="L33" s="61" t="inlineStr">
        <is>
          <t>Matched to historical category: Accounts Receivable (A/R)</t>
        </is>
      </c>
    </row>
    <row r="34" ht="16" customHeight="1">
      <c r="B34" s="58" t="inlineStr">
        <is>
          <t>Bank of America</t>
        </is>
      </c>
      <c r="C34" s="58" t="inlineStr">
        <is>
          <t>07/17/2026</t>
        </is>
      </c>
      <c r="D34" s="58" t="inlineStr">
        <is>
          <t>Payment</t>
        </is>
      </c>
      <c r="E34" s="58" t="inlineStr"/>
      <c r="F34" s="58" t="inlineStr">
        <is>
          <t>Medix Staffing Solutions, LLC,</t>
        </is>
      </c>
      <c r="G34" s="58" t="inlineStr"/>
      <c r="H34" s="58" t="inlineStr">
        <is>
          <t>Accounts Receivable (A/R)</t>
        </is>
      </c>
      <c r="I34" s="59" t="n">
        <v>3340</v>
      </c>
      <c r="J34" s="59" t="n">
        <v>66881.66</v>
      </c>
      <c r="K34" s="60" t="inlineStr">
        <is>
          <t>MATCHED</t>
        </is>
      </c>
      <c r="L34" s="61" t="inlineStr">
        <is>
          <t>Matched to historical category: Accounts Receivable (A/R)</t>
        </is>
      </c>
    </row>
    <row r="35" ht="16" customHeight="1">
      <c r="B35" s="58" t="inlineStr">
        <is>
          <t>Bank of America</t>
        </is>
      </c>
      <c r="C35" s="58" t="inlineStr">
        <is>
          <t>07/20/2026</t>
        </is>
      </c>
      <c r="D35" s="58" t="inlineStr">
        <is>
          <t>Bill Payment (Check)</t>
        </is>
      </c>
      <c r="E35" s="58" t="inlineStr"/>
      <c r="F35" s="58" t="inlineStr">
        <is>
          <t>Exor Properties, LLC</t>
        </is>
      </c>
      <c r="G35" s="58" t="inlineStr"/>
      <c r="H35" s="58" t="inlineStr">
        <is>
          <t>Accounts Payable (A/P)</t>
        </is>
      </c>
      <c r="I35" s="59" t="n">
        <v>-1650</v>
      </c>
      <c r="J35" s="59" t="n">
        <v>65231.66</v>
      </c>
      <c r="K35" s="60" t="inlineStr">
        <is>
          <t>MATCHED</t>
        </is>
      </c>
      <c r="L35" s="61" t="inlineStr">
        <is>
          <t>Standard ledger entry</t>
        </is>
      </c>
    </row>
    <row r="36" ht="16" customHeight="1">
      <c r="B36" s="58" t="inlineStr">
        <is>
          <t>Bank of America</t>
        </is>
      </c>
      <c r="C36" s="58" t="inlineStr">
        <is>
          <t>07/21/2026</t>
        </is>
      </c>
      <c r="D36" s="58" t="inlineStr">
        <is>
          <t>Expense</t>
        </is>
      </c>
      <c r="E36" s="58" t="inlineStr"/>
      <c r="F36" s="58" t="inlineStr"/>
      <c r="G36" s="58" t="inlineStr">
        <is>
          <t>External transfer fee - 3 Day - 07/20/2026 Confirmation: 623413086</t>
        </is>
      </c>
      <c r="H36" s="58" t="inlineStr">
        <is>
          <t>General business expenses:Bank fees &amp; service charges</t>
        </is>
      </c>
      <c r="I36" s="59" t="n">
        <v>-1</v>
      </c>
      <c r="J36" s="59" t="n">
        <v>65230.66</v>
      </c>
      <c r="K36" s="60" t="inlineStr">
        <is>
          <t>MATCHED</t>
        </is>
      </c>
      <c r="L36" s="61" t="inlineStr">
        <is>
          <t>Standard ledger entry</t>
        </is>
      </c>
    </row>
    <row r="37" ht="16" customHeight="1">
      <c r="B37" s="58" t="inlineStr">
        <is>
          <t>Bank of America</t>
        </is>
      </c>
      <c r="C37" s="58" t="inlineStr">
        <is>
          <t>07/22/2026</t>
        </is>
      </c>
      <c r="D37" s="58" t="inlineStr">
        <is>
          <t>Bill Payment (Check)</t>
        </is>
      </c>
      <c r="E37" s="58" t="inlineStr"/>
      <c r="F37" s="58" t="inlineStr">
        <is>
          <t>Aneru LLC</t>
        </is>
      </c>
      <c r="G37" s="58" t="inlineStr"/>
      <c r="H37" s="58" t="inlineStr">
        <is>
          <t>Accounts Payable (A/P)</t>
        </is>
      </c>
      <c r="I37" s="59" t="n">
        <v>-15556</v>
      </c>
      <c r="J37" s="59" t="n">
        <v>49674.66</v>
      </c>
      <c r="K37" s="60" t="inlineStr">
        <is>
          <t>MATCHED</t>
        </is>
      </c>
      <c r="L37" s="61" t="inlineStr">
        <is>
          <t>Matched to historical category: Accounts Payable (A/P)</t>
        </is>
      </c>
    </row>
    <row r="38" ht="16" customHeight="1">
      <c r="B38" s="58" t="inlineStr">
        <is>
          <t>Bank of America</t>
        </is>
      </c>
      <c r="C38" s="58" t="inlineStr">
        <is>
          <t>07/22/2026</t>
        </is>
      </c>
      <c r="D38" s="58" t="inlineStr">
        <is>
          <t>Payment</t>
        </is>
      </c>
      <c r="E38" s="58" t="inlineStr"/>
      <c r="F38" s="58" t="inlineStr">
        <is>
          <t>SANA Software Solutions</t>
        </is>
      </c>
      <c r="G38" s="58" t="inlineStr"/>
      <c r="H38" s="58" t="inlineStr">
        <is>
          <t>Accounts Receivable (A/R)</t>
        </is>
      </c>
      <c r="I38" s="59" t="n">
        <v>10400</v>
      </c>
      <c r="J38" s="59" t="n">
        <v>60074.66</v>
      </c>
      <c r="K38" s="60" t="inlineStr">
        <is>
          <t>MATCHED</t>
        </is>
      </c>
      <c r="L38" s="61" t="inlineStr">
        <is>
          <t>Matched to historical category: Accounts Receivable (A/R)</t>
        </is>
      </c>
    </row>
    <row r="39" ht="16" customHeight="1">
      <c r="B39" s="58" t="inlineStr">
        <is>
          <t>Bank of America</t>
        </is>
      </c>
      <c r="C39" s="58" t="inlineStr">
        <is>
          <t>07/23/2026</t>
        </is>
      </c>
      <c r="D39" s="58" t="inlineStr">
        <is>
          <t>Expense</t>
        </is>
      </c>
      <c r="E39" s="58" t="inlineStr"/>
      <c r="F39" s="58" t="inlineStr"/>
      <c r="G39" s="58" t="inlineStr">
        <is>
          <t>External transfer fee - Next Day - 07/22/2026 Confirmation: 623757016</t>
        </is>
      </c>
      <c r="H39" s="58" t="inlineStr">
        <is>
          <t>General business expenses:Bank fees &amp; service charges</t>
        </is>
      </c>
      <c r="I39" s="59" t="n">
        <v>-5</v>
      </c>
      <c r="J39" s="59" t="n">
        <v>60069.66</v>
      </c>
      <c r="K39" s="60" t="inlineStr">
        <is>
          <t>MATCHED</t>
        </is>
      </c>
      <c r="L39" s="61" t="inlineStr">
        <is>
          <t>Standard ledger entry</t>
        </is>
      </c>
    </row>
    <row r="40" ht="16" customHeight="1">
      <c r="B40" s="58" t="inlineStr">
        <is>
          <t>Bank of America</t>
        </is>
      </c>
      <c r="C40" s="58" t="inlineStr">
        <is>
          <t>07/23/2026</t>
        </is>
      </c>
      <c r="D40" s="58" t="inlineStr">
        <is>
          <t>Payment</t>
        </is>
      </c>
      <c r="E40" s="58" t="inlineStr"/>
      <c r="F40" s="58" t="inlineStr">
        <is>
          <t>Sage Solutions LLC</t>
        </is>
      </c>
      <c r="G40" s="58" t="inlineStr"/>
      <c r="H40" s="58" t="inlineStr">
        <is>
          <t>Accounts Receivable (A/R)</t>
        </is>
      </c>
      <c r="I40" s="59" t="n">
        <v>11264</v>
      </c>
      <c r="J40" s="59" t="n">
        <v>71333.66</v>
      </c>
      <c r="K40" s="60" t="inlineStr">
        <is>
          <t>MATCHED</t>
        </is>
      </c>
      <c r="L40" s="61" t="inlineStr">
        <is>
          <t>Matched to historical category: Consulting Fees</t>
        </is>
      </c>
    </row>
    <row r="41" ht="16" customHeight="1">
      <c r="B41" s="58" t="inlineStr">
        <is>
          <t>Bank of America</t>
        </is>
      </c>
      <c r="C41" s="58" t="inlineStr">
        <is>
          <t>07/24/2026</t>
        </is>
      </c>
      <c r="D41" s="58" t="inlineStr">
        <is>
          <t>Payment</t>
        </is>
      </c>
      <c r="E41" s="58" t="inlineStr">
        <is>
          <t>031000500154237</t>
        </is>
      </c>
      <c r="F41" s="58" t="inlineStr">
        <is>
          <t>Randstand Digital</t>
        </is>
      </c>
      <c r="G41" s="58" t="inlineStr"/>
      <c r="H41" s="58" t="inlineStr">
        <is>
          <t>Accounts Receivable (A/R)</t>
        </is>
      </c>
      <c r="I41" s="59" t="n">
        <v>3244</v>
      </c>
      <c r="J41" s="59" t="n">
        <v>74577.66</v>
      </c>
      <c r="K41" s="60" t="inlineStr">
        <is>
          <t>MATCHED</t>
        </is>
      </c>
      <c r="L41" s="61" t="inlineStr">
        <is>
          <t>Matched to historical category: Accounts Receivable (A/R)</t>
        </is>
      </c>
    </row>
    <row r="42" ht="16" customHeight="1">
      <c r="B42" s="58" t="inlineStr">
        <is>
          <t>Bank of America</t>
        </is>
      </c>
      <c r="C42" s="58" t="inlineStr">
        <is>
          <t>07/24/2026</t>
        </is>
      </c>
      <c r="D42" s="58" t="inlineStr">
        <is>
          <t>Payment</t>
        </is>
      </c>
      <c r="E42" s="58" t="inlineStr"/>
      <c r="F42" s="58" t="inlineStr">
        <is>
          <t>Medix Staffing Solutions, LLC,</t>
        </is>
      </c>
      <c r="G42" s="58" t="inlineStr"/>
      <c r="H42" s="58" t="inlineStr">
        <is>
          <t>Accounts Receivable (A/R)</t>
        </is>
      </c>
      <c r="I42" s="59" t="n">
        <v>3340</v>
      </c>
      <c r="J42" s="59" t="n">
        <v>77917.66</v>
      </c>
      <c r="K42" s="60" t="inlineStr">
        <is>
          <t>MATCHED</t>
        </is>
      </c>
      <c r="L42" s="61" t="inlineStr">
        <is>
          <t>Matched to historical category: Accounts Receivable (A/R)</t>
        </is>
      </c>
    </row>
    <row r="43" ht="16" customHeight="1">
      <c r="B43" s="58" t="inlineStr">
        <is>
          <t>Bank of America</t>
        </is>
      </c>
      <c r="C43" s="58" t="inlineStr">
        <is>
          <t>07/24/2026</t>
        </is>
      </c>
      <c r="D43" s="58" t="inlineStr">
        <is>
          <t>Expense</t>
        </is>
      </c>
      <c r="E43" s="58" t="inlineStr"/>
      <c r="F43" s="58" t="inlineStr"/>
      <c r="G43" s="58" t="inlineStr">
        <is>
          <t>ADP Tax DES:ADP Tax ID:LE7RA 072714A01 INDN:VIRTUSSOLUTIONS LLC CO ID:1941711111 CCD</t>
        </is>
      </c>
      <c r="H43" s="58" t="inlineStr">
        <is>
          <t>Payroll wages and tax to pay:Payroll tax to pay</t>
        </is>
      </c>
      <c r="I43" s="59" t="n">
        <v>-638.8</v>
      </c>
      <c r="J43" s="59" t="n">
        <v>77278.86</v>
      </c>
      <c r="K43" s="60" t="inlineStr">
        <is>
          <t>MATCHED</t>
        </is>
      </c>
      <c r="L43" s="61" t="inlineStr">
        <is>
          <t>Matched to historical category: Payroll wages and tax to pay:Payroll tax to pay</t>
        </is>
      </c>
    </row>
    <row r="44" ht="16" customHeight="1">
      <c r="B44" s="58" t="inlineStr">
        <is>
          <t>Bank of America</t>
        </is>
      </c>
      <c r="C44" s="58" t="inlineStr">
        <is>
          <t>07/24/2026</t>
        </is>
      </c>
      <c r="D44" s="58" t="inlineStr">
        <is>
          <t>Expense</t>
        </is>
      </c>
      <c r="E44" s="58" t="inlineStr"/>
      <c r="F44" s="58" t="inlineStr"/>
      <c r="G44" s="58" t="inlineStr">
        <is>
          <t>ADP PAYROLL FEES DES:ADP FEES ID:925744100480 INDN:726243267VIRTUSSOLUTIO CO ID:9659605001 CCD</t>
        </is>
      </c>
      <c r="H44" s="58" t="inlineStr">
        <is>
          <t>Payroll expenses:Payroll Processing Fee</t>
        </is>
      </c>
      <c r="I44" s="59" t="n">
        <v>-296.3</v>
      </c>
      <c r="J44" s="59" t="n">
        <v>76982.56</v>
      </c>
      <c r="K44" s="60" t="inlineStr">
        <is>
          <t>MATCHED</t>
        </is>
      </c>
      <c r="L44" s="61" t="inlineStr">
        <is>
          <t>Matched to historical category: Payroll expenses:Payroll Processing Fee</t>
        </is>
      </c>
    </row>
    <row r="45" ht="16" customHeight="1">
      <c r="B45" s="62" t="inlineStr">
        <is>
          <t>Bank of America</t>
        </is>
      </c>
      <c r="C45" s="62" t="inlineStr">
        <is>
          <t>07/24/2026</t>
        </is>
      </c>
      <c r="D45" s="62" t="inlineStr">
        <is>
          <t>Credit Card Payment</t>
        </is>
      </c>
      <c r="E45" s="62" t="inlineStr"/>
      <c r="F45" s="62" t="inlineStr">
        <is>
          <t>Amex CC</t>
        </is>
      </c>
      <c r="G45" s="62" t="inlineStr">
        <is>
          <t>AMERICAN EXPRESS DES:ACH PMT ID:W4206 INDN:SNEHA DATLA CO ID:1133133497 CCD</t>
        </is>
      </c>
      <c r="H45" s="62" t="inlineStr">
        <is>
          <t>Amex CC</t>
        </is>
      </c>
      <c r="I45" s="63" t="n">
        <v>-4823.19</v>
      </c>
      <c r="J45" s="63" t="n">
        <v>72159.37</v>
      </c>
      <c r="K45" s="64" t="inlineStr">
        <is>
          <t>CC VENDOR UPDATED</t>
        </is>
      </c>
      <c r="L45" s="65" t="inlineStr">
        <is>
          <t>Vendor Name set to 'Amex CC'</t>
        </is>
      </c>
    </row>
    <row r="46" ht="16" customHeight="1">
      <c r="B46" s="58" t="inlineStr">
        <is>
          <t>Bank of America</t>
        </is>
      </c>
      <c r="C46" s="58" t="inlineStr">
        <is>
          <t>07/24/2026</t>
        </is>
      </c>
      <c r="D46" s="58" t="inlineStr">
        <is>
          <t>Expense</t>
        </is>
      </c>
      <c r="E46" s="58" t="inlineStr"/>
      <c r="F46" s="58" t="inlineStr"/>
      <c r="G46" s="58" t="inlineStr">
        <is>
          <t>ADP WAGE PAY DES:WAGE PAY ID:5880767405547RA INDN:VIRTUSSOLUTIONS LLC VI CO ID:9333006057 CCD</t>
        </is>
      </c>
      <c r="H46" s="58" t="inlineStr">
        <is>
          <t>Payroll Wages Payable</t>
        </is>
      </c>
      <c r="I46" s="59" t="n">
        <v>-3937.2</v>
      </c>
      <c r="J46" s="59" t="n">
        <v>68222.17</v>
      </c>
      <c r="K46" s="60" t="inlineStr">
        <is>
          <t>MATCHED</t>
        </is>
      </c>
      <c r="L46" s="61" t="inlineStr">
        <is>
          <t>Standard ledger entry</t>
        </is>
      </c>
    </row>
    <row r="47" ht="16" customHeight="1">
      <c r="B47" s="62" t="inlineStr">
        <is>
          <t>Bank of America</t>
        </is>
      </c>
      <c r="C47" s="62" t="inlineStr">
        <is>
          <t>07/24/2026</t>
        </is>
      </c>
      <c r="D47" s="62" t="inlineStr">
        <is>
          <t>Credit Card Payment</t>
        </is>
      </c>
      <c r="E47" s="62" t="inlineStr"/>
      <c r="F47" s="62" t="inlineStr">
        <is>
          <t>BOA CC</t>
        </is>
      </c>
      <c r="G47" s="62" t="inlineStr">
        <is>
          <t>BANK OF AMERICA - CREDIT CARD Bill Payment</t>
        </is>
      </c>
      <c r="H47" s="62" t="inlineStr">
        <is>
          <t>BOA CC</t>
        </is>
      </c>
      <c r="I47" s="63" t="n">
        <v>-2965.7</v>
      </c>
      <c r="J47" s="63" t="n">
        <v>65256.47</v>
      </c>
      <c r="K47" s="64" t="inlineStr">
        <is>
          <t>CC VENDOR UPDATED</t>
        </is>
      </c>
      <c r="L47" s="65" t="inlineStr">
        <is>
          <t>Vendor Name set to 'BOA CC'</t>
        </is>
      </c>
    </row>
    <row r="48" ht="16" customHeight="1">
      <c r="B48" s="58" t="inlineStr">
        <is>
          <t>Bank of America</t>
        </is>
      </c>
      <c r="C48" s="58" t="inlineStr">
        <is>
          <t>07/28/2026</t>
        </is>
      </c>
      <c r="D48" s="58" t="inlineStr">
        <is>
          <t>Bill Payment (Check)</t>
        </is>
      </c>
      <c r="E48" s="58" t="inlineStr">
        <is>
          <t>VSL07282026</t>
        </is>
      </c>
      <c r="F48" s="58" t="inlineStr">
        <is>
          <t>PTL Consultancy</t>
        </is>
      </c>
      <c r="G48" s="58" t="inlineStr"/>
      <c r="H48" s="58" t="inlineStr">
        <is>
          <t>Accounts Payable (A/P)</t>
        </is>
      </c>
      <c r="I48" s="59" t="n">
        <v>-5546.55</v>
      </c>
      <c r="J48" s="59" t="n">
        <v>59709.92</v>
      </c>
      <c r="K48" s="60" t="inlineStr">
        <is>
          <t>MATCHED</t>
        </is>
      </c>
      <c r="L48" s="61" t="inlineStr">
        <is>
          <t>Matched to historical category: Accounts Payable (A/P)</t>
        </is>
      </c>
    </row>
    <row r="49" ht="16" customHeight="1">
      <c r="B49" s="66" t="inlineStr">
        <is>
          <t>Bank of America</t>
        </is>
      </c>
      <c r="C49" s="66" t="inlineStr">
        <is>
          <t>07/28/2026</t>
        </is>
      </c>
      <c r="D49" s="66" t="inlineStr">
        <is>
          <t>Deposit</t>
        </is>
      </c>
      <c r="E49" s="66" t="inlineStr"/>
      <c r="F49" s="66" t="inlineStr"/>
      <c r="G49" s="66" t="inlineStr">
        <is>
          <t>BKOFAMERICA MOBILE 07/29 3778024504 DEPOSIT *MOBILE FL</t>
        </is>
      </c>
      <c r="H49" s="66" t="inlineStr">
        <is>
          <t>Uncategorized Income</t>
        </is>
      </c>
      <c r="I49" s="67" t="n">
        <v>2803.69</v>
      </c>
      <c r="J49" s="67" t="n">
        <v>62513.61</v>
      </c>
      <c r="K49" s="68" t="inlineStr">
        <is>
          <t>UNCATEGORIZED</t>
        </is>
      </c>
      <c r="L49" s="69" t="inlineStr">
        <is>
          <t>Uncategorized transaction requires reconciliation / invoice mapping.</t>
        </is>
      </c>
    </row>
    <row r="50" ht="16" customHeight="1">
      <c r="B50" s="58" t="inlineStr">
        <is>
          <t>Bank of America</t>
        </is>
      </c>
      <c r="C50" s="58" t="inlineStr">
        <is>
          <t>07/29/2026</t>
        </is>
      </c>
      <c r="D50" s="58" t="inlineStr">
        <is>
          <t>Payment</t>
        </is>
      </c>
      <c r="E50" s="58" t="inlineStr"/>
      <c r="F50" s="58" t="inlineStr">
        <is>
          <t>Cygnus Professionals</t>
        </is>
      </c>
      <c r="G50" s="58" t="inlineStr"/>
      <c r="H50" s="58" t="inlineStr">
        <is>
          <t>Accounts Receivable (A/R)</t>
        </is>
      </c>
      <c r="I50" s="59" t="n">
        <v>7894</v>
      </c>
      <c r="J50" s="59" t="n">
        <v>70407.61</v>
      </c>
      <c r="K50" s="60" t="inlineStr">
        <is>
          <t>MATCHED</t>
        </is>
      </c>
      <c r="L50" s="61" t="inlineStr">
        <is>
          <t>Standard ledger entry</t>
        </is>
      </c>
    </row>
    <row r="51" ht="16" customHeight="1">
      <c r="B51" s="58" t="inlineStr">
        <is>
          <t>Bank of America</t>
        </is>
      </c>
      <c r="C51" s="58" t="inlineStr">
        <is>
          <t>07/29/2026</t>
        </is>
      </c>
      <c r="D51" s="58" t="inlineStr">
        <is>
          <t>Expense</t>
        </is>
      </c>
      <c r="E51" s="58" t="inlineStr"/>
      <c r="F51" s="58" t="inlineStr"/>
      <c r="G51" s="58" t="inlineStr">
        <is>
          <t>GLOBALIMMIGRATIO DES:WEBPAYMENT ID: INDN:SNEHA DATLA CO ID:3383693141 WEB</t>
        </is>
      </c>
      <c r="H51" s="58" t="inlineStr">
        <is>
          <t>Immigration Expenses</t>
        </is>
      </c>
      <c r="I51" s="59" t="n">
        <v>-3000</v>
      </c>
      <c r="J51" s="59" t="n">
        <v>67407.61</v>
      </c>
      <c r="K51" s="60" t="inlineStr">
        <is>
          <t>MATCHED</t>
        </is>
      </c>
      <c r="L51" s="61" t="inlineStr">
        <is>
          <t>Matched to historical category: Immigration Expenses</t>
        </is>
      </c>
    </row>
    <row r="52" ht="16" customHeight="1">
      <c r="B52" s="58" t="inlineStr">
        <is>
          <t>Bank of America</t>
        </is>
      </c>
      <c r="C52" s="58" t="inlineStr">
        <is>
          <t>07/29/2026</t>
        </is>
      </c>
      <c r="D52" s="58" t="inlineStr">
        <is>
          <t>Bill Payment (Check)</t>
        </is>
      </c>
      <c r="E52" s="58" t="inlineStr"/>
      <c r="F52" s="58" t="inlineStr">
        <is>
          <t>Sysconsult LLC</t>
        </is>
      </c>
      <c r="G52" s="58" t="inlineStr"/>
      <c r="H52" s="58" t="inlineStr">
        <is>
          <t>Accounts Payable (A/P)</t>
        </is>
      </c>
      <c r="I52" s="59" t="n">
        <v>-9680</v>
      </c>
      <c r="J52" s="59" t="n">
        <v>57727.61</v>
      </c>
      <c r="K52" s="60" t="inlineStr">
        <is>
          <t>MATCHED</t>
        </is>
      </c>
      <c r="L52" s="61" t="inlineStr">
        <is>
          <t>Matched to historical category: Consulting Fees</t>
        </is>
      </c>
    </row>
    <row r="53" ht="16" customHeight="1">
      <c r="B53" s="58" t="inlineStr">
        <is>
          <t>Bank of America</t>
        </is>
      </c>
      <c r="C53" s="58" t="inlineStr">
        <is>
          <t>07/30/2026</t>
        </is>
      </c>
      <c r="D53" s="58" t="inlineStr">
        <is>
          <t>Payment</t>
        </is>
      </c>
      <c r="E53" s="58" t="inlineStr"/>
      <c r="F53" s="58" t="inlineStr">
        <is>
          <t>Vivid Technologies Inc</t>
        </is>
      </c>
      <c r="G53" s="58" t="inlineStr"/>
      <c r="H53" s="58" t="inlineStr">
        <is>
          <t>Accounts Receivable (A/R)</t>
        </is>
      </c>
      <c r="I53" s="59" t="n">
        <v>11440</v>
      </c>
      <c r="J53" s="59" t="n">
        <v>69167.61</v>
      </c>
      <c r="K53" s="60" t="inlineStr">
        <is>
          <t>MATCHED</t>
        </is>
      </c>
      <c r="L53" s="61" t="inlineStr">
        <is>
          <t>Matched to historical category: Accounts Receivable (A/R)</t>
        </is>
      </c>
    </row>
    <row r="54" ht="16" customHeight="1">
      <c r="B54" s="58" t="inlineStr">
        <is>
          <t>Bank of America</t>
        </is>
      </c>
      <c r="C54" s="58" t="inlineStr">
        <is>
          <t>07/30/2026</t>
        </is>
      </c>
      <c r="D54" s="58" t="inlineStr">
        <is>
          <t>Expense</t>
        </is>
      </c>
      <c r="E54" s="58" t="inlineStr"/>
      <c r="F54" s="58" t="inlineStr"/>
      <c r="G54" s="58" t="inlineStr">
        <is>
          <t>ADP WAGE PAY DES:WAGE PAY ID:2900853777717RA INDN:VIRTUSSOLUTIONS LLC VI CO ID:9333006057 CCD</t>
        </is>
      </c>
      <c r="H54" s="58" t="inlineStr">
        <is>
          <t>Payroll Wages Payable</t>
        </is>
      </c>
      <c r="I54" s="59" t="n">
        <v>-26342.04</v>
      </c>
      <c r="J54" s="59" t="n">
        <v>42825.57</v>
      </c>
      <c r="K54" s="60" t="inlineStr">
        <is>
          <t>MATCHED</t>
        </is>
      </c>
      <c r="L54" s="61" t="inlineStr">
        <is>
          <t>Standard ledger entry</t>
        </is>
      </c>
    </row>
    <row r="55" ht="16" customHeight="1">
      <c r="B55" s="58" t="inlineStr">
        <is>
          <t>Bank of America</t>
        </is>
      </c>
      <c r="C55" s="58" t="inlineStr">
        <is>
          <t>07/30/2026</t>
        </is>
      </c>
      <c r="D55" s="58" t="inlineStr">
        <is>
          <t>Expense</t>
        </is>
      </c>
      <c r="E55" s="58" t="inlineStr"/>
      <c r="F55" s="58" t="inlineStr"/>
      <c r="G55" s="58" t="inlineStr">
        <is>
          <t>ADP Tax DES:ADP Tax ID:LE7RA 073114A01 INDN:VIRTUSSOLUTIONS LLC CO ID:1941711111 CCD</t>
        </is>
      </c>
      <c r="H55" s="58" t="inlineStr">
        <is>
          <t>Payroll wages and tax to pay:Payroll tax to pay</t>
        </is>
      </c>
      <c r="I55" s="59" t="n">
        <v>-9285.969999999999</v>
      </c>
      <c r="J55" s="59" t="n">
        <v>33539.6</v>
      </c>
      <c r="K55" s="60" t="inlineStr">
        <is>
          <t>MATCHED</t>
        </is>
      </c>
      <c r="L55" s="61" t="inlineStr">
        <is>
          <t>Matched to historical category: Payroll wages and tax to pay:Payroll tax to pay</t>
        </is>
      </c>
    </row>
    <row r="56" ht="16" customHeight="1">
      <c r="B56" s="58" t="inlineStr">
        <is>
          <t>Bank of America</t>
        </is>
      </c>
      <c r="C56" s="58" t="inlineStr">
        <is>
          <t>07/30/2026</t>
        </is>
      </c>
      <c r="D56" s="58" t="inlineStr">
        <is>
          <t>Payment</t>
        </is>
      </c>
      <c r="E56" s="58" t="inlineStr"/>
      <c r="F56" s="58" t="inlineStr">
        <is>
          <t>Randstand Digital</t>
        </is>
      </c>
      <c r="G56" s="58" t="inlineStr"/>
      <c r="H56" s="58" t="inlineStr">
        <is>
          <t>Accounts Receivable (A/R)</t>
        </is>
      </c>
      <c r="I56" s="59" t="n">
        <v>3244</v>
      </c>
      <c r="J56" s="59" t="n">
        <v>36783.6</v>
      </c>
      <c r="K56" s="60" t="inlineStr">
        <is>
          <t>MATCHED</t>
        </is>
      </c>
      <c r="L56" s="61" t="inlineStr">
        <is>
          <t>Matched to historical category: Accounts Receivable (A/R)</t>
        </is>
      </c>
    </row>
    <row r="57" ht="16" customHeight="1">
      <c r="B57" s="58" t="inlineStr">
        <is>
          <t>Bank of America</t>
        </is>
      </c>
      <c r="C57" s="58" t="inlineStr">
        <is>
          <t>07/31/2026</t>
        </is>
      </c>
      <c r="D57" s="58" t="inlineStr">
        <is>
          <t>Payment</t>
        </is>
      </c>
      <c r="E57" s="58" t="inlineStr"/>
      <c r="F57" s="58" t="inlineStr">
        <is>
          <t>American Technology Services LLC</t>
        </is>
      </c>
      <c r="G57" s="58" t="inlineStr"/>
      <c r="H57" s="58" t="inlineStr">
        <is>
          <t>Accounts Receivable (A/R)</t>
        </is>
      </c>
      <c r="I57" s="59" t="n">
        <v>28840</v>
      </c>
      <c r="J57" s="59" t="n">
        <v>65623.60000000001</v>
      </c>
      <c r="K57" s="60" t="inlineStr">
        <is>
          <t>MATCHED</t>
        </is>
      </c>
      <c r="L57" s="61" t="inlineStr">
        <is>
          <t>Matched to historical category: Accounts Receivable (A/R)</t>
        </is>
      </c>
    </row>
    <row r="58" ht="16" customHeight="1">
      <c r="B58" s="58" t="inlineStr">
        <is>
          <t>Bank of America</t>
        </is>
      </c>
      <c r="C58" s="58" t="inlineStr">
        <is>
          <t>07/31/2026</t>
        </is>
      </c>
      <c r="D58" s="58" t="inlineStr">
        <is>
          <t>Payment</t>
        </is>
      </c>
      <c r="E58" s="58" t="inlineStr"/>
      <c r="F58" s="58" t="inlineStr">
        <is>
          <t>Medix Staffing Solutions, LLC,</t>
        </is>
      </c>
      <c r="G58" s="58" t="inlineStr"/>
      <c r="H58" s="58" t="inlineStr">
        <is>
          <t>Accounts Receivable (A/R)</t>
        </is>
      </c>
      <c r="I58" s="59" t="n">
        <v>3340</v>
      </c>
      <c r="J58" s="59" t="n">
        <v>68963.60000000001</v>
      </c>
      <c r="K58" s="60" t="inlineStr">
        <is>
          <t>MATCHED</t>
        </is>
      </c>
      <c r="L58" s="61" t="inlineStr">
        <is>
          <t>Matched to historical category: Accounts Receivable (A/R)</t>
        </is>
      </c>
    </row>
    <row r="59" ht="16" customHeight="1">
      <c r="B59" s="58" t="inlineStr">
        <is>
          <t>Bank of America</t>
        </is>
      </c>
      <c r="C59" s="58" t="inlineStr">
        <is>
          <t>07/31/2026</t>
        </is>
      </c>
      <c r="D59" s="58" t="inlineStr">
        <is>
          <t>Expense</t>
        </is>
      </c>
      <c r="E59" s="58" t="inlineStr"/>
      <c r="F59" s="58" t="inlineStr"/>
      <c r="G59" s="58" t="inlineStr">
        <is>
          <t>ADP PAYROLL FEES DES:ADP FEES ID:776105318266 INDN:726848210VIRTUSSOLUTIO CO ID:9659605001 CCD</t>
        </is>
      </c>
      <c r="H59" s="58" t="inlineStr">
        <is>
          <t>Payroll expenses:Payroll Processing Fee</t>
        </is>
      </c>
      <c r="I59" s="59" t="n">
        <v>-280</v>
      </c>
      <c r="J59" s="59" t="n">
        <v>68683.60000000001</v>
      </c>
      <c r="K59" s="60" t="inlineStr">
        <is>
          <t>MATCHED</t>
        </is>
      </c>
      <c r="L59" s="61" t="inlineStr">
        <is>
          <t>Matched to historical category: Payroll expenses:Payroll Processing Fee</t>
        </is>
      </c>
    </row>
    <row r="60" ht="16" customHeight="1">
      <c r="B60" s="58" t="inlineStr">
        <is>
          <t>Bank of America</t>
        </is>
      </c>
      <c r="C60" s="58" t="inlineStr">
        <is>
          <t>07/31/2026</t>
        </is>
      </c>
      <c r="D60" s="58" t="inlineStr">
        <is>
          <t>Expense</t>
        </is>
      </c>
      <c r="E60" s="58" t="inlineStr"/>
      <c r="F60" s="58" t="inlineStr"/>
      <c r="G60" s="58" t="inlineStr">
        <is>
          <t>ADP PAYROLL FEES DES:ADP FEES ID:776105318267 INDN:726850615VIRTUSSOLUTIO CO ID:9659605001 CCD</t>
        </is>
      </c>
      <c r="H60" s="58" t="inlineStr">
        <is>
          <t>Payroll expenses:Payroll Processing Fee</t>
        </is>
      </c>
      <c r="I60" s="59" t="n">
        <v>-191.77</v>
      </c>
      <c r="J60" s="59" t="n">
        <v>68491.83</v>
      </c>
      <c r="K60" s="60" t="inlineStr">
        <is>
          <t>MATCHED</t>
        </is>
      </c>
      <c r="L60" s="61" t="inlineStr">
        <is>
          <t>Matched to historical category: Payroll expenses:Payroll Processing Fee</t>
        </is>
      </c>
    </row>
    <row r="61" ht="16" customHeight="1">
      <c r="B61" s="58" t="inlineStr">
        <is>
          <t>Bank of America</t>
        </is>
      </c>
      <c r="C61" s="58" t="inlineStr">
        <is>
          <t>07/31/2026</t>
        </is>
      </c>
      <c r="D61" s="58" t="inlineStr">
        <is>
          <t>Payment</t>
        </is>
      </c>
      <c r="E61" s="58" t="inlineStr"/>
      <c r="F61" s="58" t="inlineStr">
        <is>
          <t>Phoenix Staff Inc</t>
        </is>
      </c>
      <c r="G61" s="58" t="inlineStr"/>
      <c r="H61" s="58" t="inlineStr">
        <is>
          <t>Accounts Receivable (A/R)</t>
        </is>
      </c>
      <c r="I61" s="59" t="n">
        <v>4968</v>
      </c>
      <c r="J61" s="59" t="n">
        <v>73459.83</v>
      </c>
      <c r="K61" s="60" t="inlineStr">
        <is>
          <t>MATCHED</t>
        </is>
      </c>
      <c r="L61" s="61" t="inlineStr">
        <is>
          <t>Matched to historical category: Accounts Receivable (A/R)</t>
        </is>
      </c>
    </row>
    <row r="62" ht="16" customHeight="1">
      <c r="A62" s="37" t="inlineStr">
        <is>
          <t>Total for Bank of America</t>
        </is>
      </c>
      <c r="I62" s="70">
        <f>I7+I8+I9+I10+I11+I12+I13+I14+I15+I16+I17+I18+I19+I20+I21+I22+I23+I24+I25+I26+I27+I28+I29+I30+I31+I32+I33+I34+I35+I36+I37+I38+I39+I40+I41+I42+I43+I44+I45+I46+I47+I48+I49+I50+I51+I52+I53+I54+I55+I56+I57+I58+I59+I60+I61</f>
        <v/>
      </c>
    </row>
    <row r="63" ht="16" customHeight="1">
      <c r="A63" s="36" t="inlineStr">
        <is>
          <t>Accounts Receivable (A/R)</t>
        </is>
      </c>
    </row>
    <row r="64" ht="16" customHeight="1">
      <c r="B64" s="26" t="inlineStr">
        <is>
          <t>Beginning Balance</t>
        </is>
      </c>
      <c r="J64" s="57" t="n">
        <v>321863.66</v>
      </c>
    </row>
    <row r="65" ht="16" customHeight="1">
      <c r="B65" s="58" t="inlineStr">
        <is>
          <t>Accounts Receivable (A/R)</t>
        </is>
      </c>
      <c r="C65" s="58" t="inlineStr">
        <is>
          <t>07/02/2026</t>
        </is>
      </c>
      <c r="D65" s="58" t="inlineStr">
        <is>
          <t>Payment</t>
        </is>
      </c>
      <c r="E65" s="58" t="inlineStr"/>
      <c r="F65" s="58" t="inlineStr">
        <is>
          <t>Medix Staffing Solutions, LLC,</t>
        </is>
      </c>
      <c r="G65" s="58" t="inlineStr"/>
      <c r="H65" s="58" t="inlineStr">
        <is>
          <t>Bank of America</t>
        </is>
      </c>
      <c r="I65" s="59" t="n">
        <v>-3340</v>
      </c>
      <c r="J65" s="59" t="n">
        <v>318523.66</v>
      </c>
      <c r="K65" s="60" t="inlineStr">
        <is>
          <t>MATCHED</t>
        </is>
      </c>
      <c r="L65" s="61" t="inlineStr">
        <is>
          <t>Matched to historical category: Accounts Receivable (A/R)</t>
        </is>
      </c>
    </row>
    <row r="66" ht="16" customHeight="1">
      <c r="B66" s="58" t="inlineStr">
        <is>
          <t>Accounts Receivable (A/R)</t>
        </is>
      </c>
      <c r="C66" s="58" t="inlineStr">
        <is>
          <t>07/02/2026</t>
        </is>
      </c>
      <c r="D66" s="58" t="inlineStr">
        <is>
          <t>Payment</t>
        </is>
      </c>
      <c r="E66" s="58" t="inlineStr"/>
      <c r="F66" s="58" t="inlineStr">
        <is>
          <t>Phoenix Staff Inc</t>
        </is>
      </c>
      <c r="G66" s="58" t="inlineStr"/>
      <c r="H66" s="58" t="inlineStr">
        <is>
          <t>Bank of America</t>
        </is>
      </c>
      <c r="I66" s="59" t="n">
        <v>-5520</v>
      </c>
      <c r="J66" s="59" t="n">
        <v>313003.66</v>
      </c>
      <c r="K66" s="60" t="inlineStr">
        <is>
          <t>MATCHED</t>
        </is>
      </c>
      <c r="L66" s="61" t="inlineStr">
        <is>
          <t>Matched to historical category: Accounts Receivable (A/R)</t>
        </is>
      </c>
    </row>
    <row r="67" ht="16" customHeight="1">
      <c r="B67" s="58" t="inlineStr">
        <is>
          <t>Accounts Receivable (A/R)</t>
        </is>
      </c>
      <c r="C67" s="58" t="inlineStr">
        <is>
          <t>07/03/2026</t>
        </is>
      </c>
      <c r="D67" s="58" t="inlineStr">
        <is>
          <t>Payment</t>
        </is>
      </c>
      <c r="E67" s="58" t="inlineStr"/>
      <c r="F67" s="58" t="inlineStr">
        <is>
          <t>Randstand Digital</t>
        </is>
      </c>
      <c r="G67" s="58" t="inlineStr"/>
      <c r="H67" s="58" t="inlineStr">
        <is>
          <t>Bank of America</t>
        </is>
      </c>
      <c r="I67" s="59" t="n">
        <v>-3244</v>
      </c>
      <c r="J67" s="59" t="n">
        <v>309759.66</v>
      </c>
      <c r="K67" s="60" t="inlineStr">
        <is>
          <t>MATCHED</t>
        </is>
      </c>
      <c r="L67" s="61" t="inlineStr">
        <is>
          <t>Matched to historical category: Accounts Receivable (A/R)</t>
        </is>
      </c>
    </row>
    <row r="68" ht="16" customHeight="1">
      <c r="B68" s="58" t="inlineStr">
        <is>
          <t>Accounts Receivable (A/R)</t>
        </is>
      </c>
      <c r="C68" s="58" t="inlineStr">
        <is>
          <t>07/06/2026</t>
        </is>
      </c>
      <c r="D68" s="58" t="inlineStr">
        <is>
          <t>Invoice</t>
        </is>
      </c>
      <c r="E68" s="58" t="inlineStr">
        <is>
          <t>1546</t>
        </is>
      </c>
      <c r="F68" s="58" t="inlineStr">
        <is>
          <t>Medix Staffing Solutions, LLC,</t>
        </is>
      </c>
      <c r="G68" s="58" t="inlineStr">
        <is>
          <t>07/01/26 - 07/12/26</t>
        </is>
      </c>
      <c r="H68" s="58" t="inlineStr"/>
      <c r="I68" s="59" t="n">
        <v>4676</v>
      </c>
      <c r="J68" s="59" t="n">
        <v>314435.66</v>
      </c>
      <c r="K68" s="60" t="inlineStr">
        <is>
          <t>MATCHED</t>
        </is>
      </c>
      <c r="L68" s="61" t="inlineStr">
        <is>
          <t>Matched to historical category: Accounts Receivable (A/R)</t>
        </is>
      </c>
    </row>
    <row r="69" ht="16" customHeight="1">
      <c r="B69" s="58" t="inlineStr">
        <is>
          <t>Accounts Receivable (A/R)</t>
        </is>
      </c>
      <c r="C69" s="58" t="inlineStr">
        <is>
          <t>07/07/2026</t>
        </is>
      </c>
      <c r="D69" s="58" t="inlineStr">
        <is>
          <t>Payment</t>
        </is>
      </c>
      <c r="E69" s="58" t="inlineStr"/>
      <c r="F69" s="58" t="inlineStr">
        <is>
          <t>Sanvi Consulting Services LLC</t>
        </is>
      </c>
      <c r="G69" s="58" t="inlineStr"/>
      <c r="H69" s="58" t="inlineStr">
        <is>
          <t>Bank of America</t>
        </is>
      </c>
      <c r="I69" s="59" t="n">
        <v>-7568</v>
      </c>
      <c r="J69" s="59" t="n">
        <v>306867.66</v>
      </c>
      <c r="K69" s="60" t="inlineStr">
        <is>
          <t>MATCHED</t>
        </is>
      </c>
      <c r="L69" s="61" t="inlineStr">
        <is>
          <t>Matched to historical category: Accounts Receivable (A/R)</t>
        </is>
      </c>
    </row>
    <row r="70" ht="16" customHeight="1">
      <c r="B70" s="58" t="inlineStr">
        <is>
          <t>Accounts Receivable (A/R)</t>
        </is>
      </c>
      <c r="C70" s="58" t="inlineStr">
        <is>
          <t>07/07/2026</t>
        </is>
      </c>
      <c r="D70" s="58" t="inlineStr">
        <is>
          <t>Payment</t>
        </is>
      </c>
      <c r="E70" s="58" t="inlineStr"/>
      <c r="F70" s="58" t="inlineStr">
        <is>
          <t>Infinite Computer Solutions Inc.</t>
        </is>
      </c>
      <c r="G70" s="58" t="inlineStr"/>
      <c r="H70" s="58" t="inlineStr">
        <is>
          <t>Bank of America</t>
        </is>
      </c>
      <c r="I70" s="59" t="n">
        <v>-10795.2</v>
      </c>
      <c r="J70" s="59" t="n">
        <v>296072.46</v>
      </c>
      <c r="K70" s="60" t="inlineStr">
        <is>
          <t>MATCHED</t>
        </is>
      </c>
      <c r="L70" s="61" t="inlineStr">
        <is>
          <t>Matched to historical category: Accounts Receivable (A/R)</t>
        </is>
      </c>
    </row>
    <row r="71" ht="16" customHeight="1">
      <c r="B71" s="58" t="inlineStr">
        <is>
          <t>Accounts Receivable (A/R)</t>
        </is>
      </c>
      <c r="C71" s="58" t="inlineStr">
        <is>
          <t>07/08/2026</t>
        </is>
      </c>
      <c r="D71" s="58" t="inlineStr">
        <is>
          <t>Payment</t>
        </is>
      </c>
      <c r="E71" s="58" t="inlineStr"/>
      <c r="F71" s="58" t="inlineStr">
        <is>
          <t>Nityo Infotech Corporation</t>
        </is>
      </c>
      <c r="G71" s="58" t="inlineStr"/>
      <c r="H71" s="58" t="inlineStr">
        <is>
          <t>Bank of America</t>
        </is>
      </c>
      <c r="I71" s="59" t="n">
        <v>-11674.24</v>
      </c>
      <c r="J71" s="59" t="n">
        <v>284398.22</v>
      </c>
      <c r="K71" s="60" t="inlineStr">
        <is>
          <t>MATCHED</t>
        </is>
      </c>
      <c r="L71" s="61" t="inlineStr">
        <is>
          <t>Matched to historical category: Accounts Receivable (A/R)</t>
        </is>
      </c>
    </row>
    <row r="72" ht="16" customHeight="1">
      <c r="B72" s="58" t="inlineStr">
        <is>
          <t>Accounts Receivable (A/R)</t>
        </is>
      </c>
      <c r="C72" s="58" t="inlineStr">
        <is>
          <t>07/10/2026</t>
        </is>
      </c>
      <c r="D72" s="58" t="inlineStr">
        <is>
          <t>Payment</t>
        </is>
      </c>
      <c r="E72" s="58" t="inlineStr">
        <is>
          <t>031000500153478</t>
        </is>
      </c>
      <c r="F72" s="58" t="inlineStr">
        <is>
          <t>Randstand Digital</t>
        </is>
      </c>
      <c r="G72" s="58" t="inlineStr"/>
      <c r="H72" s="58" t="inlineStr">
        <is>
          <t>Bank of America</t>
        </is>
      </c>
      <c r="I72" s="59" t="n">
        <v>-3244</v>
      </c>
      <c r="J72" s="59" t="n">
        <v>281154.22</v>
      </c>
      <c r="K72" s="60" t="inlineStr">
        <is>
          <t>MATCHED</t>
        </is>
      </c>
      <c r="L72" s="61" t="inlineStr">
        <is>
          <t>Matched to historical category: Accounts Receivable (A/R)</t>
        </is>
      </c>
    </row>
    <row r="73" ht="16" customHeight="1">
      <c r="B73" s="58" t="inlineStr">
        <is>
          <t>Accounts Receivable (A/R)</t>
        </is>
      </c>
      <c r="C73" s="58" t="inlineStr">
        <is>
          <t>07/10/2026</t>
        </is>
      </c>
      <c r="D73" s="58" t="inlineStr">
        <is>
          <t>Payment</t>
        </is>
      </c>
      <c r="E73" s="58" t="inlineStr"/>
      <c r="F73" s="58" t="inlineStr">
        <is>
          <t>Medix Staffing Solutions, LLC,</t>
        </is>
      </c>
      <c r="G73" s="58" t="inlineStr"/>
      <c r="H73" s="58" t="inlineStr">
        <is>
          <t>Bank of America</t>
        </is>
      </c>
      <c r="I73" s="59" t="n">
        <v>-2672</v>
      </c>
      <c r="J73" s="59" t="n">
        <v>278482.22</v>
      </c>
      <c r="K73" s="60" t="inlineStr">
        <is>
          <t>MATCHED</t>
        </is>
      </c>
      <c r="L73" s="61" t="inlineStr">
        <is>
          <t>Matched to historical category: Accounts Receivable (A/R)</t>
        </is>
      </c>
    </row>
    <row r="74" ht="16" customHeight="1">
      <c r="B74" s="58" t="inlineStr">
        <is>
          <t>Accounts Receivable (A/R)</t>
        </is>
      </c>
      <c r="C74" s="58" t="inlineStr">
        <is>
          <t>07/15/2026</t>
        </is>
      </c>
      <c r="D74" s="58" t="inlineStr">
        <is>
          <t>Payment</t>
        </is>
      </c>
      <c r="E74" s="58" t="inlineStr"/>
      <c r="F74" s="58" t="inlineStr">
        <is>
          <t>Bigbyte</t>
        </is>
      </c>
      <c r="G74" s="58" t="inlineStr"/>
      <c r="H74" s="58" t="inlineStr">
        <is>
          <t>Bank of America</t>
        </is>
      </c>
      <c r="I74" s="59" t="n">
        <v>-11256</v>
      </c>
      <c r="J74" s="59" t="n">
        <v>267226.22</v>
      </c>
      <c r="K74" s="60" t="inlineStr">
        <is>
          <t>MATCHED</t>
        </is>
      </c>
      <c r="L74" s="61" t="inlineStr">
        <is>
          <t>Matched to historical category: Accounts Receivable (A/R)</t>
        </is>
      </c>
    </row>
    <row r="75" ht="16" customHeight="1">
      <c r="B75" s="58" t="inlineStr">
        <is>
          <t>Accounts Receivable (A/R)</t>
        </is>
      </c>
      <c r="C75" s="58" t="inlineStr">
        <is>
          <t>07/15/2026</t>
        </is>
      </c>
      <c r="D75" s="58" t="inlineStr">
        <is>
          <t>Payment</t>
        </is>
      </c>
      <c r="E75" s="58" t="inlineStr"/>
      <c r="F75" s="58" t="inlineStr">
        <is>
          <t>AGILISIUM CONSULTING LLC</t>
        </is>
      </c>
      <c r="G75" s="58" t="inlineStr"/>
      <c r="H75" s="58" t="inlineStr">
        <is>
          <t>Bank of America</t>
        </is>
      </c>
      <c r="I75" s="59" t="n">
        <v>-3520</v>
      </c>
      <c r="J75" s="59" t="n">
        <v>263706.22</v>
      </c>
      <c r="K75" s="60" t="inlineStr">
        <is>
          <t>MATCHED</t>
        </is>
      </c>
      <c r="L75" s="61" t="inlineStr">
        <is>
          <t>Matched to historical category: Accounts Receivable (A/R)</t>
        </is>
      </c>
    </row>
    <row r="76" ht="16" customHeight="1">
      <c r="B76" s="58" t="inlineStr">
        <is>
          <t>Accounts Receivable (A/R)</t>
        </is>
      </c>
      <c r="C76" s="58" t="inlineStr">
        <is>
          <t>07/17/2026</t>
        </is>
      </c>
      <c r="D76" s="58" t="inlineStr">
        <is>
          <t>Payment</t>
        </is>
      </c>
      <c r="E76" s="58" t="inlineStr"/>
      <c r="F76" s="58" t="inlineStr">
        <is>
          <t>Phoenix Staff Inc</t>
        </is>
      </c>
      <c r="G76" s="58" t="inlineStr"/>
      <c r="H76" s="58" t="inlineStr">
        <is>
          <t>Bank of America</t>
        </is>
      </c>
      <c r="I76" s="59" t="n">
        <v>-4968</v>
      </c>
      <c r="J76" s="59" t="n">
        <v>258738.22</v>
      </c>
      <c r="K76" s="60" t="inlineStr">
        <is>
          <t>MATCHED</t>
        </is>
      </c>
      <c r="L76" s="61" t="inlineStr">
        <is>
          <t>Matched to historical category: Accounts Receivable (A/R)</t>
        </is>
      </c>
    </row>
    <row r="77" ht="16" customHeight="1">
      <c r="B77" s="58" t="inlineStr">
        <is>
          <t>Accounts Receivable (A/R)</t>
        </is>
      </c>
      <c r="C77" s="58" t="inlineStr">
        <is>
          <t>07/17/2026</t>
        </is>
      </c>
      <c r="D77" s="58" t="inlineStr">
        <is>
          <t>Payment</t>
        </is>
      </c>
      <c r="E77" s="58" t="inlineStr">
        <is>
          <t>031000500153852</t>
        </is>
      </c>
      <c r="F77" s="58" t="inlineStr">
        <is>
          <t>Randstand Digital</t>
        </is>
      </c>
      <c r="G77" s="58" t="inlineStr"/>
      <c r="H77" s="58" t="inlineStr">
        <is>
          <t>Bank of America</t>
        </is>
      </c>
      <c r="I77" s="59" t="n">
        <v>-2595.2</v>
      </c>
      <c r="J77" s="59" t="n">
        <v>256143.02</v>
      </c>
      <c r="K77" s="60" t="inlineStr">
        <is>
          <t>MATCHED</t>
        </is>
      </c>
      <c r="L77" s="61" t="inlineStr">
        <is>
          <t>Matched to historical category: Accounts Receivable (A/R)</t>
        </is>
      </c>
    </row>
    <row r="78" ht="16" customHeight="1">
      <c r="B78" s="58" t="inlineStr">
        <is>
          <t>Accounts Receivable (A/R)</t>
        </is>
      </c>
      <c r="C78" s="58" t="inlineStr">
        <is>
          <t>07/17/2026</t>
        </is>
      </c>
      <c r="D78" s="58" t="inlineStr">
        <is>
          <t>Payment</t>
        </is>
      </c>
      <c r="E78" s="58" t="inlineStr"/>
      <c r="F78" s="58" t="inlineStr">
        <is>
          <t>Medix Staffing Solutions, LLC,</t>
        </is>
      </c>
      <c r="G78" s="58" t="inlineStr"/>
      <c r="H78" s="58" t="inlineStr">
        <is>
          <t>Bank of America</t>
        </is>
      </c>
      <c r="I78" s="59" t="n">
        <v>-3340</v>
      </c>
      <c r="J78" s="59" t="n">
        <v>252803.02</v>
      </c>
      <c r="K78" s="60" t="inlineStr">
        <is>
          <t>MATCHED</t>
        </is>
      </c>
      <c r="L78" s="61" t="inlineStr">
        <is>
          <t>Matched to historical category: Accounts Receivable (A/R)</t>
        </is>
      </c>
    </row>
    <row r="79" ht="16" customHeight="1">
      <c r="B79" s="58" t="inlineStr">
        <is>
          <t>Accounts Receivable (A/R)</t>
        </is>
      </c>
      <c r="C79" s="58" t="inlineStr">
        <is>
          <t>07/20/2026</t>
        </is>
      </c>
      <c r="D79" s="58" t="inlineStr">
        <is>
          <t>Invoice</t>
        </is>
      </c>
      <c r="E79" s="58" t="inlineStr">
        <is>
          <t>1555</t>
        </is>
      </c>
      <c r="F79" s="58" t="inlineStr">
        <is>
          <t>Medix Staffing Solutions, LLC,</t>
        </is>
      </c>
      <c r="G79" s="58" t="inlineStr">
        <is>
          <t>07/13/26 - 07/31/26</t>
        </is>
      </c>
      <c r="H79" s="58" t="inlineStr"/>
      <c r="I79" s="59" t="n">
        <v>10020</v>
      </c>
      <c r="J79" s="59" t="n">
        <v>262823.02</v>
      </c>
      <c r="K79" s="60" t="inlineStr">
        <is>
          <t>MATCHED</t>
        </is>
      </c>
      <c r="L79" s="61" t="inlineStr">
        <is>
          <t>Matched to historical category: Accounts Receivable (A/R)</t>
        </is>
      </c>
    </row>
    <row r="80" ht="16" customHeight="1">
      <c r="B80" s="58" t="inlineStr">
        <is>
          <t>Accounts Receivable (A/R)</t>
        </is>
      </c>
      <c r="C80" s="58" t="inlineStr">
        <is>
          <t>07/22/2026</t>
        </is>
      </c>
      <c r="D80" s="58" t="inlineStr">
        <is>
          <t>Payment</t>
        </is>
      </c>
      <c r="E80" s="58" t="inlineStr"/>
      <c r="F80" s="58" t="inlineStr">
        <is>
          <t>SANA Software Solutions</t>
        </is>
      </c>
      <c r="G80" s="58" t="inlineStr"/>
      <c r="H80" s="58" t="inlineStr">
        <is>
          <t>Bank of America</t>
        </is>
      </c>
      <c r="I80" s="59" t="n">
        <v>-10400</v>
      </c>
      <c r="J80" s="59" t="n">
        <v>252423.02</v>
      </c>
      <c r="K80" s="60" t="inlineStr">
        <is>
          <t>MATCHED</t>
        </is>
      </c>
      <c r="L80" s="61" t="inlineStr">
        <is>
          <t>Matched to historical category: Accounts Receivable (A/R)</t>
        </is>
      </c>
    </row>
    <row r="81" ht="16" customHeight="1">
      <c r="B81" s="58" t="inlineStr">
        <is>
          <t>Accounts Receivable (A/R)</t>
        </is>
      </c>
      <c r="C81" s="58" t="inlineStr">
        <is>
          <t>07/23/2026</t>
        </is>
      </c>
      <c r="D81" s="58" t="inlineStr">
        <is>
          <t>Payment</t>
        </is>
      </c>
      <c r="E81" s="58" t="inlineStr"/>
      <c r="F81" s="58" t="inlineStr">
        <is>
          <t>Sage Solutions LLC</t>
        </is>
      </c>
      <c r="G81" s="58" t="inlineStr"/>
      <c r="H81" s="58" t="inlineStr">
        <is>
          <t>Bank of America</t>
        </is>
      </c>
      <c r="I81" s="59" t="n">
        <v>-11264</v>
      </c>
      <c r="J81" s="59" t="n">
        <v>241159.02</v>
      </c>
      <c r="K81" s="60" t="inlineStr">
        <is>
          <t>MATCHED</t>
        </is>
      </c>
      <c r="L81" s="61" t="inlineStr">
        <is>
          <t>Matched to historical category: Consulting Fees</t>
        </is>
      </c>
    </row>
    <row r="82" ht="16" customHeight="1">
      <c r="B82" s="58" t="inlineStr">
        <is>
          <t>Accounts Receivable (A/R)</t>
        </is>
      </c>
      <c r="C82" s="58" t="inlineStr">
        <is>
          <t>07/24/2026</t>
        </is>
      </c>
      <c r="D82" s="58" t="inlineStr">
        <is>
          <t>Payment</t>
        </is>
      </c>
      <c r="E82" s="58" t="inlineStr">
        <is>
          <t>031000500154237</t>
        </is>
      </c>
      <c r="F82" s="58" t="inlineStr">
        <is>
          <t>Randstand Digital</t>
        </is>
      </c>
      <c r="G82" s="58" t="inlineStr"/>
      <c r="H82" s="58" t="inlineStr">
        <is>
          <t>Bank of America</t>
        </is>
      </c>
      <c r="I82" s="59" t="n">
        <v>-3244</v>
      </c>
      <c r="J82" s="59" t="n">
        <v>237915.02</v>
      </c>
      <c r="K82" s="60" t="inlineStr">
        <is>
          <t>MATCHED</t>
        </is>
      </c>
      <c r="L82" s="61" t="inlineStr">
        <is>
          <t>Matched to historical category: Accounts Receivable (A/R)</t>
        </is>
      </c>
    </row>
    <row r="83" ht="16" customHeight="1">
      <c r="B83" s="58" t="inlineStr">
        <is>
          <t>Accounts Receivable (A/R)</t>
        </is>
      </c>
      <c r="C83" s="58" t="inlineStr">
        <is>
          <t>07/24/2026</t>
        </is>
      </c>
      <c r="D83" s="58" t="inlineStr">
        <is>
          <t>Payment</t>
        </is>
      </c>
      <c r="E83" s="58" t="inlineStr"/>
      <c r="F83" s="58" t="inlineStr">
        <is>
          <t>Medix Staffing Solutions, LLC,</t>
        </is>
      </c>
      <c r="G83" s="58" t="inlineStr"/>
      <c r="H83" s="58" t="inlineStr">
        <is>
          <t>Bank of America</t>
        </is>
      </c>
      <c r="I83" s="59" t="n">
        <v>-3340</v>
      </c>
      <c r="J83" s="59" t="n">
        <v>234575.02</v>
      </c>
      <c r="K83" s="60" t="inlineStr">
        <is>
          <t>MATCHED</t>
        </is>
      </c>
      <c r="L83" s="61" t="inlineStr">
        <is>
          <t>Matched to historical category: Accounts Receivable (A/R)</t>
        </is>
      </c>
    </row>
    <row r="84" ht="16" customHeight="1">
      <c r="B84" s="58" t="inlineStr">
        <is>
          <t>Accounts Receivable (A/R)</t>
        </is>
      </c>
      <c r="C84" s="58" t="inlineStr">
        <is>
          <t>07/29/2026</t>
        </is>
      </c>
      <c r="D84" s="58" t="inlineStr">
        <is>
          <t>Payment</t>
        </is>
      </c>
      <c r="E84" s="58" t="inlineStr"/>
      <c r="F84" s="58" t="inlineStr">
        <is>
          <t>Cygnus Professionals</t>
        </is>
      </c>
      <c r="G84" s="58" t="inlineStr"/>
      <c r="H84" s="58" t="inlineStr">
        <is>
          <t>Bank of America</t>
        </is>
      </c>
      <c r="I84" s="59" t="n">
        <v>-7894</v>
      </c>
      <c r="J84" s="59" t="n">
        <v>226681.02</v>
      </c>
      <c r="K84" s="60" t="inlineStr">
        <is>
          <t>MATCHED</t>
        </is>
      </c>
      <c r="L84" s="61" t="inlineStr">
        <is>
          <t>Standard ledger entry</t>
        </is>
      </c>
    </row>
    <row r="85" ht="16" customHeight="1">
      <c r="B85" s="58" t="inlineStr">
        <is>
          <t>Accounts Receivable (A/R)</t>
        </is>
      </c>
      <c r="C85" s="58" t="inlineStr">
        <is>
          <t>07/30/2026</t>
        </is>
      </c>
      <c r="D85" s="58" t="inlineStr">
        <is>
          <t>Payment</t>
        </is>
      </c>
      <c r="E85" s="58" t="inlineStr"/>
      <c r="F85" s="58" t="inlineStr">
        <is>
          <t>Vivid Technologies Inc</t>
        </is>
      </c>
      <c r="G85" s="58" t="inlineStr"/>
      <c r="H85" s="58" t="inlineStr">
        <is>
          <t>Bank of America</t>
        </is>
      </c>
      <c r="I85" s="59" t="n">
        <v>-11440</v>
      </c>
      <c r="J85" s="59" t="n">
        <v>215241.02</v>
      </c>
      <c r="K85" s="60" t="inlineStr">
        <is>
          <t>MATCHED</t>
        </is>
      </c>
      <c r="L85" s="61" t="inlineStr">
        <is>
          <t>Matched to historical category: Accounts Receivable (A/R)</t>
        </is>
      </c>
    </row>
    <row r="86" ht="16" customHeight="1">
      <c r="B86" s="58" t="inlineStr">
        <is>
          <t>Accounts Receivable (A/R)</t>
        </is>
      </c>
      <c r="C86" s="58" t="inlineStr">
        <is>
          <t>07/30/2026</t>
        </is>
      </c>
      <c r="D86" s="58" t="inlineStr">
        <is>
          <t>Payment</t>
        </is>
      </c>
      <c r="E86" s="58" t="inlineStr"/>
      <c r="F86" s="58" t="inlineStr">
        <is>
          <t>Randstand Digital</t>
        </is>
      </c>
      <c r="G86" s="58" t="inlineStr"/>
      <c r="H86" s="58" t="inlineStr">
        <is>
          <t>Bank of America</t>
        </is>
      </c>
      <c r="I86" s="59" t="n">
        <v>-3244</v>
      </c>
      <c r="J86" s="59" t="n">
        <v>211997.02</v>
      </c>
      <c r="K86" s="60" t="inlineStr">
        <is>
          <t>MATCHED</t>
        </is>
      </c>
      <c r="L86" s="61" t="inlineStr">
        <is>
          <t>Matched to historical category: Accounts Receivable (A/R)</t>
        </is>
      </c>
    </row>
    <row r="87" ht="16" customHeight="1">
      <c r="B87" s="58" t="inlineStr">
        <is>
          <t>Accounts Receivable (A/R)</t>
        </is>
      </c>
      <c r="C87" s="58" t="inlineStr">
        <is>
          <t>07/31/2026</t>
        </is>
      </c>
      <c r="D87" s="58" t="inlineStr">
        <is>
          <t>Invoice</t>
        </is>
      </c>
      <c r="E87" s="58" t="inlineStr">
        <is>
          <t>1538</t>
        </is>
      </c>
      <c r="F87" s="58" t="inlineStr">
        <is>
          <t>Phoenix Staff Inc</t>
        </is>
      </c>
      <c r="G87" s="58" t="inlineStr">
        <is>
          <t>Harish Sandela 07/01/26 - 07/31/26</t>
        </is>
      </c>
      <c r="H87" s="58" t="inlineStr"/>
      <c r="I87" s="59" t="n">
        <v>11824</v>
      </c>
      <c r="J87" s="59" t="n">
        <v>223821.02</v>
      </c>
      <c r="K87" s="60" t="inlineStr">
        <is>
          <t>MATCHED</t>
        </is>
      </c>
      <c r="L87" s="61" t="inlineStr">
        <is>
          <t>Matched to historical category: Accounts Receivable (A/R)</t>
        </is>
      </c>
    </row>
    <row r="88" ht="16" customHeight="1">
      <c r="B88" s="58" t="inlineStr">
        <is>
          <t>Accounts Receivable (A/R)</t>
        </is>
      </c>
      <c r="C88" s="58" t="inlineStr">
        <is>
          <t>07/31/2026</t>
        </is>
      </c>
      <c r="D88" s="58" t="inlineStr">
        <is>
          <t>Payment</t>
        </is>
      </c>
      <c r="E88" s="58" t="inlineStr"/>
      <c r="F88" s="58" t="inlineStr">
        <is>
          <t>American Technology Services LLC</t>
        </is>
      </c>
      <c r="G88" s="58" t="inlineStr"/>
      <c r="H88" s="58" t="inlineStr">
        <is>
          <t>Bank of America</t>
        </is>
      </c>
      <c r="I88" s="59" t="n">
        <v>-28840</v>
      </c>
      <c r="J88" s="59" t="n">
        <v>194981.02</v>
      </c>
      <c r="K88" s="60" t="inlineStr">
        <is>
          <t>MATCHED</t>
        </is>
      </c>
      <c r="L88" s="61" t="inlineStr">
        <is>
          <t>Matched to historical category: Accounts Receivable (A/R)</t>
        </is>
      </c>
    </row>
    <row r="89" ht="16" customHeight="1">
      <c r="B89" s="58" t="inlineStr">
        <is>
          <t>Accounts Receivable (A/R)</t>
        </is>
      </c>
      <c r="C89" s="58" t="inlineStr">
        <is>
          <t>07/31/2026</t>
        </is>
      </c>
      <c r="D89" s="58" t="inlineStr">
        <is>
          <t>Payment</t>
        </is>
      </c>
      <c r="E89" s="58" t="inlineStr"/>
      <c r="F89" s="58" t="inlineStr">
        <is>
          <t>Medix Staffing Solutions, LLC,</t>
        </is>
      </c>
      <c r="G89" s="58" t="inlineStr"/>
      <c r="H89" s="58" t="inlineStr">
        <is>
          <t>Bank of America</t>
        </is>
      </c>
      <c r="I89" s="59" t="n">
        <v>-3340</v>
      </c>
      <c r="J89" s="59" t="n">
        <v>191641.02</v>
      </c>
      <c r="K89" s="60" t="inlineStr">
        <is>
          <t>MATCHED</t>
        </is>
      </c>
      <c r="L89" s="61" t="inlineStr">
        <is>
          <t>Matched to historical category: Accounts Receivable (A/R)</t>
        </is>
      </c>
    </row>
    <row r="90" ht="16" customHeight="1">
      <c r="B90" s="58" t="inlineStr">
        <is>
          <t>Accounts Receivable (A/R)</t>
        </is>
      </c>
      <c r="C90" s="58" t="inlineStr">
        <is>
          <t>07/31/2026</t>
        </is>
      </c>
      <c r="D90" s="58" t="inlineStr">
        <is>
          <t>Invoice</t>
        </is>
      </c>
      <c r="E90" s="58" t="inlineStr">
        <is>
          <t>1600</t>
        </is>
      </c>
      <c r="F90" s="58" t="inlineStr">
        <is>
          <t>SANA Software Solutions</t>
        </is>
      </c>
      <c r="G90" s="58" t="inlineStr">
        <is>
          <t>Nithya Tejasvini Baddam - July 2026</t>
        </is>
      </c>
      <c r="H90" s="58" t="inlineStr">
        <is>
          <t>Services</t>
        </is>
      </c>
      <c r="I90" s="59" t="n">
        <v>11440</v>
      </c>
      <c r="J90" s="59" t="n">
        <v>203081.02</v>
      </c>
      <c r="K90" s="60" t="inlineStr">
        <is>
          <t>MATCHED</t>
        </is>
      </c>
      <c r="L90" s="61" t="inlineStr">
        <is>
          <t>Matched to historical category: Accounts Receivable (A/R)</t>
        </is>
      </c>
    </row>
    <row r="91" ht="16" customHeight="1">
      <c r="B91" s="58" t="inlineStr">
        <is>
          <t>Accounts Receivable (A/R)</t>
        </is>
      </c>
      <c r="C91" s="58" t="inlineStr">
        <is>
          <t>07/31/2026</t>
        </is>
      </c>
      <c r="D91" s="58" t="inlineStr">
        <is>
          <t>Invoice</t>
        </is>
      </c>
      <c r="E91" s="58" t="inlineStr">
        <is>
          <t>1601</t>
        </is>
      </c>
      <c r="F91" s="58" t="inlineStr">
        <is>
          <t>Nityo Infotech Corporation</t>
        </is>
      </c>
      <c r="G91" s="58" t="inlineStr">
        <is>
          <t>Mounica Ganta_07/01/26 - 07/31/26</t>
        </is>
      </c>
      <c r="H91" s="58" t="inlineStr"/>
      <c r="I91" s="59" t="n">
        <v>12867.72</v>
      </c>
      <c r="J91" s="59" t="n">
        <v>215948.74</v>
      </c>
      <c r="K91" s="60" t="inlineStr">
        <is>
          <t>MATCHED</t>
        </is>
      </c>
      <c r="L91" s="61" t="inlineStr">
        <is>
          <t>Matched to historical category: Accounts Receivable (A/R)</t>
        </is>
      </c>
    </row>
    <row r="92" ht="16" customHeight="1">
      <c r="B92" s="58" t="inlineStr">
        <is>
          <t>Accounts Receivable (A/R)</t>
        </is>
      </c>
      <c r="C92" s="58" t="inlineStr">
        <is>
          <t>07/31/2026</t>
        </is>
      </c>
      <c r="D92" s="58" t="inlineStr">
        <is>
          <t>Invoice</t>
        </is>
      </c>
      <c r="E92" s="58" t="inlineStr">
        <is>
          <t>1602</t>
        </is>
      </c>
      <c r="F92" s="58" t="inlineStr">
        <is>
          <t>Vivid Technologies Inc</t>
        </is>
      </c>
      <c r="G92" s="58" t="inlineStr">
        <is>
          <t>Harish Sandela_ 07/01/26 - 07/31/26</t>
        </is>
      </c>
      <c r="H92" s="58" t="inlineStr">
        <is>
          <t>Services</t>
        </is>
      </c>
      <c r="I92" s="59" t="n">
        <v>10920</v>
      </c>
      <c r="J92" s="59" t="n">
        <v>226868.74</v>
      </c>
      <c r="K92" s="60" t="inlineStr">
        <is>
          <t>MATCHED</t>
        </is>
      </c>
      <c r="L92" s="61" t="inlineStr">
        <is>
          <t>Matched to historical category: Accounts Receivable (A/R)</t>
        </is>
      </c>
    </row>
    <row r="93" ht="16" customHeight="1">
      <c r="B93" s="58" t="inlineStr">
        <is>
          <t>Accounts Receivable (A/R)</t>
        </is>
      </c>
      <c r="C93" s="58" t="inlineStr">
        <is>
          <t>07/31/2026</t>
        </is>
      </c>
      <c r="D93" s="58" t="inlineStr">
        <is>
          <t>Invoice</t>
        </is>
      </c>
      <c r="E93" s="58" t="inlineStr">
        <is>
          <t>1604</t>
        </is>
      </c>
      <c r="F93" s="58" t="inlineStr">
        <is>
          <t>Bigbyte</t>
        </is>
      </c>
      <c r="G93" s="58" t="inlineStr">
        <is>
          <t>Sreekanth Reddy Dodda_07/01/26 -07/31/26</t>
        </is>
      </c>
      <c r="H93" s="58" t="inlineStr">
        <is>
          <t>Services</t>
        </is>
      </c>
      <c r="I93" s="59" t="n">
        <v>11792</v>
      </c>
      <c r="J93" s="59" t="n">
        <v>238660.74</v>
      </c>
      <c r="K93" s="60" t="inlineStr">
        <is>
          <t>MATCHED</t>
        </is>
      </c>
      <c r="L93" s="61" t="inlineStr">
        <is>
          <t>Matched to historical category: Accounts Receivable (A/R)</t>
        </is>
      </c>
    </row>
    <row r="94" ht="16" customHeight="1">
      <c r="B94" s="58" t="inlineStr">
        <is>
          <t>Accounts Receivable (A/R)</t>
        </is>
      </c>
      <c r="C94" s="58" t="inlineStr">
        <is>
          <t>07/31/2026</t>
        </is>
      </c>
      <c r="D94" s="58" t="inlineStr">
        <is>
          <t>Invoice</t>
        </is>
      </c>
      <c r="E94" s="58" t="inlineStr">
        <is>
          <t>1603</t>
        </is>
      </c>
      <c r="F94" s="58" t="inlineStr">
        <is>
          <t>Randstand Digital</t>
        </is>
      </c>
      <c r="G94" s="58" t="inlineStr">
        <is>
          <t>Venkata Vinay Kumar 07/01/2026 -07/31/2026</t>
        </is>
      </c>
      <c r="H94" s="58" t="inlineStr">
        <is>
          <t>Services</t>
        </is>
      </c>
      <c r="I94" s="59" t="n">
        <v>7136.8</v>
      </c>
      <c r="J94" s="59" t="n">
        <v>245797.5399999999</v>
      </c>
      <c r="K94" s="60" t="inlineStr">
        <is>
          <t>MATCHED</t>
        </is>
      </c>
      <c r="L94" s="61" t="inlineStr">
        <is>
          <t>Matched to historical category: Accounts Receivable (A/R)</t>
        </is>
      </c>
    </row>
    <row r="95" ht="16" customHeight="1">
      <c r="B95" s="58" t="inlineStr">
        <is>
          <t>Accounts Receivable (A/R)</t>
        </is>
      </c>
      <c r="C95" s="58" t="inlineStr">
        <is>
          <t>07/31/2026</t>
        </is>
      </c>
      <c r="D95" s="58" t="inlineStr">
        <is>
          <t>Invoice</t>
        </is>
      </c>
      <c r="E95" s="58" t="inlineStr">
        <is>
          <t>1605</t>
        </is>
      </c>
      <c r="F95" s="58" t="inlineStr">
        <is>
          <t>AGILISIUM CONSULTING LLC</t>
        </is>
      </c>
      <c r="G95" s="58" t="inlineStr">
        <is>
          <t>Gadupudi Ravi Kumar 07/01/26 - 07/31/26</t>
        </is>
      </c>
      <c r="H95" s="58" t="inlineStr">
        <is>
          <t>Services</t>
        </is>
      </c>
      <c r="I95" s="59" t="n">
        <v>4048</v>
      </c>
      <c r="J95" s="59" t="n">
        <v>249845.5399999999</v>
      </c>
      <c r="K95" s="60" t="inlineStr">
        <is>
          <t>MATCHED</t>
        </is>
      </c>
      <c r="L95" s="61" t="inlineStr">
        <is>
          <t>Matched to historical category: Accounts Receivable (A/R)</t>
        </is>
      </c>
    </row>
    <row r="96" ht="16" customHeight="1">
      <c r="B96" s="58" t="inlineStr">
        <is>
          <t>Accounts Receivable (A/R)</t>
        </is>
      </c>
      <c r="C96" s="58" t="inlineStr">
        <is>
          <t>07/31/2026</t>
        </is>
      </c>
      <c r="D96" s="58" t="inlineStr">
        <is>
          <t>Invoice</t>
        </is>
      </c>
      <c r="E96" s="58" t="inlineStr">
        <is>
          <t>1606</t>
        </is>
      </c>
      <c r="F96" s="58" t="inlineStr">
        <is>
          <t>Infinite Computer Solutions Inc.</t>
        </is>
      </c>
      <c r="G96" s="58" t="inlineStr">
        <is>
          <t>07/01/26 - 07/31/26_Sandeep Kumar Mathangi</t>
        </is>
      </c>
      <c r="H96" s="58" t="inlineStr">
        <is>
          <t>Services</t>
        </is>
      </c>
      <c r="I96" s="59" t="n">
        <v>12414.48</v>
      </c>
      <c r="J96" s="59" t="n">
        <v>262260.02</v>
      </c>
      <c r="K96" s="60" t="inlineStr">
        <is>
          <t>MATCHED</t>
        </is>
      </c>
      <c r="L96" s="61" t="inlineStr">
        <is>
          <t>Matched to historical category: Accounts Receivable (A/R)</t>
        </is>
      </c>
    </row>
    <row r="97" ht="16" customHeight="1">
      <c r="B97" s="58" t="inlineStr">
        <is>
          <t>Accounts Receivable (A/R)</t>
        </is>
      </c>
      <c r="C97" s="58" t="inlineStr">
        <is>
          <t>07/31/2026</t>
        </is>
      </c>
      <c r="D97" s="58" t="inlineStr">
        <is>
          <t>Invoice</t>
        </is>
      </c>
      <c r="E97" s="58" t="inlineStr">
        <is>
          <t>1607</t>
        </is>
      </c>
      <c r="F97" s="58" t="inlineStr">
        <is>
          <t>American Technology Services LLC</t>
        </is>
      </c>
      <c r="G97" s="58" t="inlineStr">
        <is>
          <t>Nagendra Jaggarapu - 07/01/26 - 07/31/26 (Work Order# OMF-CW-0003240)</t>
        </is>
      </c>
      <c r="H97" s="58" t="inlineStr">
        <is>
          <t>Services</t>
        </is>
      </c>
      <c r="I97" s="59" t="n">
        <v>16800</v>
      </c>
      <c r="J97" s="59" t="n">
        <v>279060.02</v>
      </c>
      <c r="K97" s="60" t="inlineStr">
        <is>
          <t>MATCHED</t>
        </is>
      </c>
      <c r="L97" s="61" t="inlineStr">
        <is>
          <t>Matched to historical category: Accounts Receivable (A/R)</t>
        </is>
      </c>
    </row>
    <row r="98" ht="16" customHeight="1">
      <c r="B98" s="58" t="inlineStr">
        <is>
          <t>Accounts Receivable (A/R)</t>
        </is>
      </c>
      <c r="C98" s="58" t="inlineStr">
        <is>
          <t>07/31/2026</t>
        </is>
      </c>
      <c r="D98" s="58" t="inlineStr">
        <is>
          <t>Invoice</t>
        </is>
      </c>
      <c r="E98" s="58" t="inlineStr">
        <is>
          <t>1608</t>
        </is>
      </c>
      <c r="F98" s="58" t="inlineStr">
        <is>
          <t>Sage Solutions LLC</t>
        </is>
      </c>
      <c r="G98" s="58" t="inlineStr">
        <is>
          <t>Sravan Tadepalli_07/01/26- 07/31/26</t>
        </is>
      </c>
      <c r="H98" s="58" t="inlineStr">
        <is>
          <t>Services</t>
        </is>
      </c>
      <c r="I98" s="59" t="n">
        <v>11264</v>
      </c>
      <c r="J98" s="59" t="n">
        <v>290324.02</v>
      </c>
      <c r="K98" s="60" t="inlineStr">
        <is>
          <t>MATCHED</t>
        </is>
      </c>
      <c r="L98" s="61" t="inlineStr">
        <is>
          <t>Matched to historical category: Consulting Fees</t>
        </is>
      </c>
    </row>
    <row r="99" ht="16" customHeight="1">
      <c r="B99" s="58" t="inlineStr">
        <is>
          <t>Accounts Receivable (A/R)</t>
        </is>
      </c>
      <c r="C99" s="58" t="inlineStr">
        <is>
          <t>07/31/2026</t>
        </is>
      </c>
      <c r="D99" s="58" t="inlineStr">
        <is>
          <t>Invoice</t>
        </is>
      </c>
      <c r="E99" s="58" t="inlineStr">
        <is>
          <t>1609</t>
        </is>
      </c>
      <c r="F99" s="58" t="inlineStr">
        <is>
          <t>American Technology Services LLC</t>
        </is>
      </c>
      <c r="G99" s="58" t="inlineStr">
        <is>
          <t>Aswini Vamshi Gunti -07/01/26 - 07/31/26 (Work Order# OMF-WO-0003012)</t>
        </is>
      </c>
      <c r="H99" s="58" t="inlineStr">
        <is>
          <t>Services</t>
        </is>
      </c>
      <c r="I99" s="59" t="n">
        <v>11440</v>
      </c>
      <c r="J99" s="59" t="n">
        <v>301764.02</v>
      </c>
      <c r="K99" s="60" t="inlineStr">
        <is>
          <t>MATCHED</t>
        </is>
      </c>
      <c r="L99" s="61" t="inlineStr">
        <is>
          <t>Matched to historical category: Accounts Receivable (A/R)</t>
        </is>
      </c>
    </row>
    <row r="100" ht="16" customHeight="1">
      <c r="B100" s="58" t="inlineStr">
        <is>
          <t>Accounts Receivable (A/R)</t>
        </is>
      </c>
      <c r="C100" s="58" t="inlineStr">
        <is>
          <t>07/31/2026</t>
        </is>
      </c>
      <c r="D100" s="58" t="inlineStr">
        <is>
          <t>Invoice</t>
        </is>
      </c>
      <c r="E100" s="58" t="inlineStr">
        <is>
          <t>1615</t>
        </is>
      </c>
      <c r="F100" s="58" t="inlineStr">
        <is>
          <t>AGILISIUM CONSULTING LLC</t>
        </is>
      </c>
      <c r="G100" s="58" t="inlineStr">
        <is>
          <t>Rakesh Varma Uppalapati _ 07/01/26 - 07/31/26</t>
        </is>
      </c>
      <c r="H100" s="58" t="inlineStr">
        <is>
          <t>Services</t>
        </is>
      </c>
      <c r="I100" s="59" t="n">
        <v>14960</v>
      </c>
      <c r="J100" s="59" t="n">
        <v>316724.02</v>
      </c>
      <c r="K100" s="60" t="inlineStr">
        <is>
          <t>MATCHED</t>
        </is>
      </c>
      <c r="L100" s="61" t="inlineStr">
        <is>
          <t>Matched to historical category: Accounts Receivable (A/R)</t>
        </is>
      </c>
    </row>
    <row r="101" ht="16" customHeight="1">
      <c r="B101" s="58" t="inlineStr">
        <is>
          <t>Accounts Receivable (A/R)</t>
        </is>
      </c>
      <c r="C101" s="58" t="inlineStr">
        <is>
          <t>07/31/2026</t>
        </is>
      </c>
      <c r="D101" s="58" t="inlineStr">
        <is>
          <t>Payment</t>
        </is>
      </c>
      <c r="E101" s="58" t="inlineStr"/>
      <c r="F101" s="58" t="inlineStr">
        <is>
          <t>Phoenix Staff Inc</t>
        </is>
      </c>
      <c r="G101" s="58" t="inlineStr"/>
      <c r="H101" s="58" t="inlineStr">
        <is>
          <t>Bank of America</t>
        </is>
      </c>
      <c r="I101" s="59" t="n">
        <v>-4968</v>
      </c>
      <c r="J101" s="59" t="n">
        <v>311756.02</v>
      </c>
      <c r="K101" s="60" t="inlineStr">
        <is>
          <t>MATCHED</t>
        </is>
      </c>
      <c r="L101" s="61" t="inlineStr">
        <is>
          <t>Matched to historical category: Accounts Receivable (A/R)</t>
        </is>
      </c>
    </row>
    <row r="102" ht="16" customHeight="1">
      <c r="B102" s="58" t="inlineStr">
        <is>
          <t>Accounts Receivable (A/R)</t>
        </is>
      </c>
      <c r="C102" s="58" t="inlineStr">
        <is>
          <t>07/31/2026</t>
        </is>
      </c>
      <c r="D102" s="58" t="inlineStr">
        <is>
          <t>Invoice</t>
        </is>
      </c>
      <c r="E102" s="58" t="inlineStr">
        <is>
          <t>1618</t>
        </is>
      </c>
      <c r="F102" s="58" t="inlineStr">
        <is>
          <t>Vendorpass, INC</t>
        </is>
      </c>
      <c r="G102" s="58" t="inlineStr">
        <is>
          <t>07/01/26-07/31/26-Noushad Begum Shaik</t>
        </is>
      </c>
      <c r="H102" s="58" t="inlineStr">
        <is>
          <t>Services</t>
        </is>
      </c>
      <c r="I102" s="59" t="n">
        <v>9328</v>
      </c>
      <c r="J102" s="59" t="n">
        <v>321084.02</v>
      </c>
      <c r="K102" s="60" t="inlineStr">
        <is>
          <t>MATCHED</t>
        </is>
      </c>
      <c r="L102" s="61" t="inlineStr">
        <is>
          <t>Matched to historical category: Accounts Receivable (A/R)</t>
        </is>
      </c>
    </row>
    <row r="103" ht="16" customHeight="1">
      <c r="A103" s="37" t="inlineStr">
        <is>
          <t>Total for Accounts Receivable (A/R)</t>
        </is>
      </c>
      <c r="I103" s="70">
        <f>I64+I65+I66+I67+I68+I69+I70+I71+I72+I73+I74+I75+I76+I77+I78+I79+I80+I81+I82+I83+I84+I85+I86+I87+I88+I89+I90+I91+I92+I93+I94+I95+I96+I97+I98+I99+I100+I101+I102</f>
        <v/>
      </c>
    </row>
    <row r="104" ht="16" customHeight="1">
      <c r="A104" s="36" t="inlineStr">
        <is>
          <t>Investment</t>
        </is>
      </c>
    </row>
    <row r="105" ht="16" customHeight="1">
      <c r="B105" s="26" t="inlineStr">
        <is>
          <t>Beginning Balance</t>
        </is>
      </c>
      <c r="J105" s="57" t="n">
        <v>12000</v>
      </c>
    </row>
    <row r="106" ht="16" customHeight="1">
      <c r="A106" s="37" t="inlineStr">
        <is>
          <t>Total for Investment</t>
        </is>
      </c>
      <c r="I106" s="70">
        <f>I105</f>
        <v/>
      </c>
    </row>
    <row r="107" ht="16" customHeight="1">
      <c r="A107" s="36" t="inlineStr">
        <is>
          <t>Accumulated depreciation</t>
        </is>
      </c>
    </row>
    <row r="108" ht="16" customHeight="1">
      <c r="B108" s="26" t="inlineStr">
        <is>
          <t>Beginning Balance</t>
        </is>
      </c>
      <c r="J108" s="57" t="n">
        <v>-25429</v>
      </c>
    </row>
    <row r="109" ht="16" customHeight="1">
      <c r="A109" s="37" t="inlineStr">
        <is>
          <t>Total for Accumulated depreciation</t>
        </is>
      </c>
      <c r="I109" s="70">
        <f>I108</f>
        <v/>
      </c>
    </row>
    <row r="110" ht="16" customHeight="1">
      <c r="A110" s="36" t="inlineStr">
        <is>
          <t>Buildings</t>
        </is>
      </c>
    </row>
    <row r="111" ht="16" customHeight="1">
      <c r="B111" s="26" t="inlineStr">
        <is>
          <t>Beginning Balance</t>
        </is>
      </c>
      <c r="J111" s="57" t="n">
        <v>22000</v>
      </c>
    </row>
    <row r="112" ht="16" customHeight="1">
      <c r="A112" s="37" t="inlineStr">
        <is>
          <t>Total for Buildings</t>
        </is>
      </c>
      <c r="I112" s="70">
        <f>I111</f>
        <v/>
      </c>
    </row>
    <row r="113" ht="16" customHeight="1">
      <c r="A113" s="36" t="inlineStr">
        <is>
          <t>Furniture &amp; fixtures</t>
        </is>
      </c>
    </row>
    <row r="114" ht="16" customHeight="1">
      <c r="B114" s="26" t="inlineStr">
        <is>
          <t>Beginning Balance</t>
        </is>
      </c>
      <c r="J114" s="57" t="n">
        <v>5535</v>
      </c>
    </row>
    <row r="115" ht="16" customHeight="1">
      <c r="A115" s="37" t="inlineStr">
        <is>
          <t>Total for Furniture &amp; fixtures</t>
        </is>
      </c>
      <c r="I115" s="70">
        <f>I114</f>
        <v/>
      </c>
    </row>
    <row r="116" ht="16" customHeight="1">
      <c r="A116" s="36" t="inlineStr">
        <is>
          <t>Security deposits</t>
        </is>
      </c>
    </row>
    <row r="117" ht="16" customHeight="1">
      <c r="B117" s="26" t="inlineStr">
        <is>
          <t>Beginning Balance</t>
        </is>
      </c>
      <c r="J117" s="57" t="n">
        <v>1784.48</v>
      </c>
    </row>
    <row r="118" ht="16" customHeight="1">
      <c r="A118" s="37" t="inlineStr">
        <is>
          <t>Total for Security deposits</t>
        </is>
      </c>
      <c r="I118" s="70">
        <f>I117</f>
        <v/>
      </c>
    </row>
    <row r="119" ht="16" customHeight="1">
      <c r="A119" s="36" t="inlineStr">
        <is>
          <t>Accounts Payable (A/P)</t>
        </is>
      </c>
    </row>
    <row r="120" ht="16" customHeight="1">
      <c r="B120" s="26" t="inlineStr">
        <is>
          <t>Beginning Balance</t>
        </is>
      </c>
      <c r="J120" s="57" t="n">
        <v>128296.42</v>
      </c>
    </row>
    <row r="121" ht="16" customHeight="1">
      <c r="B121" s="58" t="inlineStr">
        <is>
          <t>Accounts Payable (A/P)</t>
        </is>
      </c>
      <c r="C121" s="58" t="inlineStr">
        <is>
          <t>07/01/2026</t>
        </is>
      </c>
      <c r="D121" s="58" t="inlineStr">
        <is>
          <t>Bill Payment (Check)</t>
        </is>
      </c>
      <c r="E121" s="58" t="inlineStr">
        <is>
          <t>VSL06012026</t>
        </is>
      </c>
      <c r="F121" s="58" t="inlineStr">
        <is>
          <t>PTL Consultancy</t>
        </is>
      </c>
      <c r="G121" s="58" t="inlineStr"/>
      <c r="H121" s="58" t="inlineStr">
        <is>
          <t>Bank of America</t>
        </is>
      </c>
      <c r="I121" s="59" t="n">
        <v>-5301.04</v>
      </c>
      <c r="J121" s="59" t="n">
        <v>122995.38</v>
      </c>
      <c r="K121" s="60" t="inlineStr">
        <is>
          <t>MATCHED</t>
        </is>
      </c>
      <c r="L121" s="61" t="inlineStr">
        <is>
          <t>Matched to historical category: Accounts Payable (A/P)</t>
        </is>
      </c>
    </row>
    <row r="122" ht="16" customHeight="1">
      <c r="B122" s="58" t="inlineStr">
        <is>
          <t>Accounts Payable (A/P)</t>
        </is>
      </c>
      <c r="C122" s="58" t="inlineStr">
        <is>
          <t>07/01/2026</t>
        </is>
      </c>
      <c r="D122" s="58" t="inlineStr">
        <is>
          <t>Bill Payment (Check)</t>
        </is>
      </c>
      <c r="E122" s="58" t="inlineStr">
        <is>
          <t>VSL053126</t>
        </is>
      </c>
      <c r="F122" s="58" t="inlineStr">
        <is>
          <t>PTL Consultancy</t>
        </is>
      </c>
      <c r="G122" s="58" t="inlineStr"/>
      <c r="H122" s="58" t="inlineStr">
        <is>
          <t>Bank of America</t>
        </is>
      </c>
      <c r="I122" s="59" t="n">
        <v>-8584.59</v>
      </c>
      <c r="J122" s="59" t="n">
        <v>114410.79</v>
      </c>
      <c r="K122" s="60" t="inlineStr">
        <is>
          <t>MATCHED</t>
        </is>
      </c>
      <c r="L122" s="61" t="inlineStr">
        <is>
          <t>Matched to historical category: Accounts Payable (A/P)</t>
        </is>
      </c>
    </row>
    <row r="123" ht="16" customHeight="1">
      <c r="B123" s="58" t="inlineStr">
        <is>
          <t>Accounts Payable (A/P)</t>
        </is>
      </c>
      <c r="C123" s="58" t="inlineStr">
        <is>
          <t>07/06/2026</t>
        </is>
      </c>
      <c r="D123" s="58" t="inlineStr">
        <is>
          <t>Bill</t>
        </is>
      </c>
      <c r="E123" s="58" t="inlineStr">
        <is>
          <t>ASM044</t>
        </is>
      </c>
      <c r="F123" s="58" t="inlineStr">
        <is>
          <t>Astramind Solutions Private Limited</t>
        </is>
      </c>
      <c r="G123" s="58" t="inlineStr">
        <is>
          <t>Offshore IT Support Services - June 2026</t>
        </is>
      </c>
      <c r="H123" s="58" t="inlineStr">
        <is>
          <t>COGS - Vendor</t>
        </is>
      </c>
      <c r="I123" s="59" t="n">
        <v>12675.9</v>
      </c>
      <c r="J123" s="59" t="n">
        <v>127086.69</v>
      </c>
      <c r="K123" s="60" t="inlineStr">
        <is>
          <t>MATCHED</t>
        </is>
      </c>
      <c r="L123" s="61" t="inlineStr">
        <is>
          <t>Matched to historical category: Accounts Payable (A/P)</t>
        </is>
      </c>
    </row>
    <row r="124" ht="16" customHeight="1">
      <c r="B124" s="58" t="inlineStr">
        <is>
          <t>Accounts Payable (A/P)</t>
        </is>
      </c>
      <c r="C124" s="58" t="inlineStr">
        <is>
          <t>07/06/2026</t>
        </is>
      </c>
      <c r="D124" s="58" t="inlineStr">
        <is>
          <t>Bill Payment (Check)</t>
        </is>
      </c>
      <c r="E124" s="58" t="inlineStr">
        <is>
          <t>ASM044</t>
        </is>
      </c>
      <c r="F124" s="58" t="inlineStr">
        <is>
          <t>Astramind Solutions Private Limited</t>
        </is>
      </c>
      <c r="G124" s="58" t="inlineStr"/>
      <c r="H124" s="58" t="inlineStr">
        <is>
          <t>Bank of America</t>
        </is>
      </c>
      <c r="I124" s="59" t="n">
        <v>-12675.9</v>
      </c>
      <c r="J124" s="59" t="n">
        <v>114410.79</v>
      </c>
      <c r="K124" s="60" t="inlineStr">
        <is>
          <t>MATCHED</t>
        </is>
      </c>
      <c r="L124" s="61" t="inlineStr">
        <is>
          <t>Matched to historical category: Accounts Payable (A/P)</t>
        </is>
      </c>
    </row>
    <row r="125" ht="16" customHeight="1">
      <c r="B125" s="58" t="inlineStr">
        <is>
          <t>Accounts Payable (A/P)</t>
        </is>
      </c>
      <c r="C125" s="58" t="inlineStr">
        <is>
          <t>07/07/2026</t>
        </is>
      </c>
      <c r="D125" s="58" t="inlineStr">
        <is>
          <t>Bill</t>
        </is>
      </c>
      <c r="E125" s="58" t="inlineStr">
        <is>
          <t>ASM045</t>
        </is>
      </c>
      <c r="F125" s="58" t="inlineStr">
        <is>
          <t>Astramind Solutions Private Limited</t>
        </is>
      </c>
      <c r="G125" s="58" t="inlineStr">
        <is>
          <t>Offshore marketing and web development services</t>
        </is>
      </c>
      <c r="H125" s="58" t="inlineStr">
        <is>
          <t>COGS - Vendor</t>
        </is>
      </c>
      <c r="I125" s="59" t="n">
        <v>9541.690000000001</v>
      </c>
      <c r="J125" s="59" t="n">
        <v>123952.48</v>
      </c>
      <c r="K125" s="60" t="inlineStr">
        <is>
          <t>MATCHED</t>
        </is>
      </c>
      <c r="L125" s="61" t="inlineStr">
        <is>
          <t>Matched to historical category: Accounts Payable (A/P)</t>
        </is>
      </c>
    </row>
    <row r="126" ht="16" customHeight="1">
      <c r="B126" s="58" t="inlineStr">
        <is>
          <t>Accounts Payable (A/P)</t>
        </is>
      </c>
      <c r="C126" s="58" t="inlineStr">
        <is>
          <t>07/08/2026</t>
        </is>
      </c>
      <c r="D126" s="58" t="inlineStr">
        <is>
          <t>Bill Payment (Check)</t>
        </is>
      </c>
      <c r="E126" s="58" t="inlineStr">
        <is>
          <t>ASM045</t>
        </is>
      </c>
      <c r="F126" s="58" t="inlineStr">
        <is>
          <t>Astramind Solutions Private Limited</t>
        </is>
      </c>
      <c r="G126" s="58" t="inlineStr"/>
      <c r="H126" s="58" t="inlineStr">
        <is>
          <t>Bank of America</t>
        </is>
      </c>
      <c r="I126" s="59" t="n">
        <v>-9541.690000000001</v>
      </c>
      <c r="J126" s="59" t="n">
        <v>114410.79</v>
      </c>
      <c r="K126" s="60" t="inlineStr">
        <is>
          <t>MATCHED</t>
        </is>
      </c>
      <c r="L126" s="61" t="inlineStr">
        <is>
          <t>Matched to historical category: Accounts Payable (A/P)</t>
        </is>
      </c>
    </row>
    <row r="127" ht="16" customHeight="1">
      <c r="B127" s="58" t="inlineStr">
        <is>
          <t>Accounts Payable (A/P)</t>
        </is>
      </c>
      <c r="C127" s="58" t="inlineStr">
        <is>
          <t>07/16/2026</t>
        </is>
      </c>
      <c r="D127" s="58" t="inlineStr">
        <is>
          <t>Bill Payment (Check)</t>
        </is>
      </c>
      <c r="E127" s="58" t="inlineStr">
        <is>
          <t>VSL053026</t>
        </is>
      </c>
      <c r="F127" s="58" t="inlineStr">
        <is>
          <t>PTL Consultancy</t>
        </is>
      </c>
      <c r="G127" s="58" t="inlineStr"/>
      <c r="H127" s="58" t="inlineStr">
        <is>
          <t>Bank of America</t>
        </is>
      </c>
      <c r="I127" s="59" t="n">
        <v>-7917.37</v>
      </c>
      <c r="J127" s="59" t="n">
        <v>106493.42</v>
      </c>
      <c r="K127" s="60" t="inlineStr">
        <is>
          <t>MATCHED</t>
        </is>
      </c>
      <c r="L127" s="61" t="inlineStr">
        <is>
          <t>Matched to historical category: Accounts Payable (A/P)</t>
        </is>
      </c>
    </row>
    <row r="128" ht="16" customHeight="1">
      <c r="B128" s="58" t="inlineStr">
        <is>
          <t>Accounts Payable (A/P)</t>
        </is>
      </c>
      <c r="C128" s="58" t="inlineStr">
        <is>
          <t>07/20/2026</t>
        </is>
      </c>
      <c r="D128" s="58" t="inlineStr">
        <is>
          <t>Bill</t>
        </is>
      </c>
      <c r="E128" s="58" t="inlineStr"/>
      <c r="F128" s="58" t="inlineStr">
        <is>
          <t>Exor Properties, LLC</t>
        </is>
      </c>
      <c r="G128" s="58" t="inlineStr"/>
      <c r="H128" s="58" t="inlineStr">
        <is>
          <t>Rent:Building &amp; land rent</t>
        </is>
      </c>
      <c r="I128" s="59" t="n">
        <v>1650</v>
      </c>
      <c r="J128" s="59" t="n">
        <v>108143.42</v>
      </c>
      <c r="K128" s="60" t="inlineStr">
        <is>
          <t>MATCHED</t>
        </is>
      </c>
      <c r="L128" s="61" t="inlineStr">
        <is>
          <t>Standard ledger entry</t>
        </is>
      </c>
    </row>
    <row r="129" ht="16" customHeight="1">
      <c r="B129" s="58" t="inlineStr">
        <is>
          <t>Accounts Payable (A/P)</t>
        </is>
      </c>
      <c r="C129" s="58" t="inlineStr">
        <is>
          <t>07/20/2026</t>
        </is>
      </c>
      <c r="D129" s="58" t="inlineStr">
        <is>
          <t>Bill Payment (Check)</t>
        </is>
      </c>
      <c r="E129" s="58" t="inlineStr"/>
      <c r="F129" s="58" t="inlineStr">
        <is>
          <t>Exor Properties, LLC</t>
        </is>
      </c>
      <c r="G129" s="58" t="inlineStr"/>
      <c r="H129" s="58" t="inlineStr">
        <is>
          <t>Bank of America</t>
        </is>
      </c>
      <c r="I129" s="59" t="n">
        <v>-1650</v>
      </c>
      <c r="J129" s="59" t="n">
        <v>106493.42</v>
      </c>
      <c r="K129" s="60" t="inlineStr">
        <is>
          <t>MATCHED</t>
        </is>
      </c>
      <c r="L129" s="61" t="inlineStr">
        <is>
          <t>Standard ledger entry</t>
        </is>
      </c>
    </row>
    <row r="130" ht="16" customHeight="1">
      <c r="B130" s="58" t="inlineStr">
        <is>
          <t>Accounts Payable (A/P)</t>
        </is>
      </c>
      <c r="C130" s="58" t="inlineStr">
        <is>
          <t>07/22/2026</t>
        </is>
      </c>
      <c r="D130" s="58" t="inlineStr">
        <is>
          <t>Bill</t>
        </is>
      </c>
      <c r="E130" s="58" t="inlineStr">
        <is>
          <t>5</t>
        </is>
      </c>
      <c r="F130" s="58" t="inlineStr">
        <is>
          <t>Aneru LLC</t>
        </is>
      </c>
      <c r="G130" s="58" t="inlineStr"/>
      <c r="H130" s="58" t="inlineStr">
        <is>
          <t>COGS - Vendor</t>
        </is>
      </c>
      <c r="I130" s="59" t="n">
        <v>15556</v>
      </c>
      <c r="J130" s="59" t="n">
        <v>122049.42</v>
      </c>
      <c r="K130" s="60" t="inlineStr">
        <is>
          <t>MATCHED</t>
        </is>
      </c>
      <c r="L130" s="61" t="inlineStr">
        <is>
          <t>Matched to historical category: Accounts Payable (A/P)</t>
        </is>
      </c>
    </row>
    <row r="131" ht="16" customHeight="1">
      <c r="B131" s="58" t="inlineStr">
        <is>
          <t>Accounts Payable (A/P)</t>
        </is>
      </c>
      <c r="C131" s="58" t="inlineStr">
        <is>
          <t>07/22/2026</t>
        </is>
      </c>
      <c r="D131" s="58" t="inlineStr">
        <is>
          <t>Bill Payment (Check)</t>
        </is>
      </c>
      <c r="E131" s="58" t="inlineStr"/>
      <c r="F131" s="58" t="inlineStr">
        <is>
          <t>Aneru LLC</t>
        </is>
      </c>
      <c r="G131" s="58" t="inlineStr"/>
      <c r="H131" s="58" t="inlineStr">
        <is>
          <t>Bank of America</t>
        </is>
      </c>
      <c r="I131" s="59" t="n">
        <v>-15556</v>
      </c>
      <c r="J131" s="59" t="n">
        <v>106493.42</v>
      </c>
      <c r="K131" s="60" t="inlineStr">
        <is>
          <t>MATCHED</t>
        </is>
      </c>
      <c r="L131" s="61" t="inlineStr">
        <is>
          <t>Matched to historical category: Accounts Payable (A/P)</t>
        </is>
      </c>
    </row>
    <row r="132" ht="16" customHeight="1">
      <c r="B132" s="58" t="inlineStr">
        <is>
          <t>Accounts Payable (A/P)</t>
        </is>
      </c>
      <c r="C132" s="58" t="inlineStr">
        <is>
          <t>07/28/2026</t>
        </is>
      </c>
      <c r="D132" s="58" t="inlineStr">
        <is>
          <t>Bill</t>
        </is>
      </c>
      <c r="E132" s="58" t="inlineStr">
        <is>
          <t>VSL07282026</t>
        </is>
      </c>
      <c r="F132" s="58" t="inlineStr">
        <is>
          <t>PTL Consultancy</t>
        </is>
      </c>
      <c r="G132" s="58" t="inlineStr">
        <is>
          <t>India July 2026 Salaries - SUBTOTAL INR 528,875.00</t>
        </is>
      </c>
      <c r="H132" s="58" t="inlineStr">
        <is>
          <t>COGS - Vendor</t>
        </is>
      </c>
      <c r="I132" s="59" t="n">
        <v>5546.55</v>
      </c>
      <c r="J132" s="59" t="n">
        <v>112039.97</v>
      </c>
      <c r="K132" s="60" t="inlineStr">
        <is>
          <t>MATCHED</t>
        </is>
      </c>
      <c r="L132" s="61" t="inlineStr">
        <is>
          <t>Matched to historical category: Accounts Payable (A/P)</t>
        </is>
      </c>
    </row>
    <row r="133" ht="16" customHeight="1">
      <c r="B133" s="58" t="inlineStr">
        <is>
          <t>Accounts Payable (A/P)</t>
        </is>
      </c>
      <c r="C133" s="58" t="inlineStr">
        <is>
          <t>07/28/2026</t>
        </is>
      </c>
      <c r="D133" s="58" t="inlineStr">
        <is>
          <t>Bill Payment (Check)</t>
        </is>
      </c>
      <c r="E133" s="58" t="inlineStr">
        <is>
          <t>VSL07282026</t>
        </is>
      </c>
      <c r="F133" s="58" t="inlineStr">
        <is>
          <t>PTL Consultancy</t>
        </is>
      </c>
      <c r="G133" s="58" t="inlineStr"/>
      <c r="H133" s="58" t="inlineStr">
        <is>
          <t>Bank of America</t>
        </is>
      </c>
      <c r="I133" s="59" t="n">
        <v>-5546.55</v>
      </c>
      <c r="J133" s="59" t="n">
        <v>106493.42</v>
      </c>
      <c r="K133" s="60" t="inlineStr">
        <is>
          <t>MATCHED</t>
        </is>
      </c>
      <c r="L133" s="61" t="inlineStr">
        <is>
          <t>Matched to historical category: Accounts Payable (A/P)</t>
        </is>
      </c>
    </row>
    <row r="134" ht="16" customHeight="1">
      <c r="B134" s="58" t="inlineStr">
        <is>
          <t>Accounts Payable (A/P)</t>
        </is>
      </c>
      <c r="C134" s="58" t="inlineStr">
        <is>
          <t>07/29/2026</t>
        </is>
      </c>
      <c r="D134" s="58" t="inlineStr">
        <is>
          <t>Bill Payment (Check)</t>
        </is>
      </c>
      <c r="E134" s="58" t="inlineStr"/>
      <c r="F134" s="58" t="inlineStr">
        <is>
          <t>Sysconsult LLC</t>
        </is>
      </c>
      <c r="G134" s="58" t="inlineStr"/>
      <c r="H134" s="58" t="inlineStr">
        <is>
          <t>Bank of America</t>
        </is>
      </c>
      <c r="I134" s="59" t="n">
        <v>-9680</v>
      </c>
      <c r="J134" s="59" t="n">
        <v>96813.42000000001</v>
      </c>
      <c r="K134" s="60" t="inlineStr">
        <is>
          <t>MATCHED</t>
        </is>
      </c>
      <c r="L134" s="61" t="inlineStr">
        <is>
          <t>Matched to historical category: Consulting Fees</t>
        </is>
      </c>
    </row>
    <row r="135" ht="16" customHeight="1">
      <c r="B135" s="58" t="inlineStr">
        <is>
          <t>Accounts Payable (A/P)</t>
        </is>
      </c>
      <c r="C135" s="58" t="inlineStr">
        <is>
          <t>07/31/2026</t>
        </is>
      </c>
      <c r="D135" s="58" t="inlineStr">
        <is>
          <t>Bill</t>
        </is>
      </c>
      <c r="E135" s="58" t="inlineStr"/>
      <c r="F135" s="58" t="inlineStr">
        <is>
          <t>Sysconsult LLC</t>
        </is>
      </c>
      <c r="G135" s="58" t="inlineStr">
        <is>
          <t>Sravan Tadepalli_ 07/01/2026 to 07/31/2026 (176*55)</t>
        </is>
      </c>
      <c r="H135" s="58" t="inlineStr">
        <is>
          <t>Consulting Fees</t>
        </is>
      </c>
      <c r="I135" s="59" t="n">
        <v>9680</v>
      </c>
      <c r="J135" s="59" t="n">
        <v>106493.42</v>
      </c>
      <c r="K135" s="60" t="inlineStr">
        <is>
          <t>MATCHED</t>
        </is>
      </c>
      <c r="L135" s="61" t="inlineStr">
        <is>
          <t>Matched to historical category: Consulting Fees</t>
        </is>
      </c>
    </row>
    <row r="136" ht="16" customHeight="1">
      <c r="B136" s="58" t="inlineStr">
        <is>
          <t>Accounts Payable (A/P)</t>
        </is>
      </c>
      <c r="C136" s="58" t="inlineStr">
        <is>
          <t>07/31/2026</t>
        </is>
      </c>
      <c r="D136" s="58" t="inlineStr">
        <is>
          <t>Bill</t>
        </is>
      </c>
      <c r="E136" s="58" t="inlineStr">
        <is>
          <t>12282018626</t>
        </is>
      </c>
      <c r="F136" s="58" t="inlineStr">
        <is>
          <t>Sage Solutions</t>
        </is>
      </c>
      <c r="G136" s="58" t="inlineStr">
        <is>
          <t>Venkata Vinay Kumar 07/01/2026 -07/31/2026 (88*$77)</t>
        </is>
      </c>
      <c r="H136" s="58" t="inlineStr">
        <is>
          <t>Consulting Fees</t>
        </is>
      </c>
      <c r="I136" s="59" t="n">
        <v>6776</v>
      </c>
      <c r="J136" s="59" t="n">
        <v>113269.42</v>
      </c>
      <c r="K136" s="60" t="inlineStr">
        <is>
          <t>MATCHED</t>
        </is>
      </c>
      <c r="L136" s="61" t="inlineStr">
        <is>
          <t>Matched to historical category: Consulting Fees</t>
        </is>
      </c>
    </row>
    <row r="137" ht="16" customHeight="1">
      <c r="A137" s="37" t="inlineStr">
        <is>
          <t>Total for Accounts Payable (A/P)</t>
        </is>
      </c>
      <c r="I137" s="70">
        <f>I120+I121+I122+I123+I124+I125+I126+I127+I128+I129+I130+I131+I132+I133+I134+I135+I136</f>
        <v/>
      </c>
    </row>
    <row r="138" ht="16" customHeight="1">
      <c r="A138" s="36" t="inlineStr">
        <is>
          <t>Amex CC</t>
        </is>
      </c>
    </row>
    <row r="139" ht="16" customHeight="1">
      <c r="B139" s="26" t="inlineStr">
        <is>
          <t>Beginning Balance</t>
        </is>
      </c>
      <c r="J139" s="57" t="n">
        <v>4647.3</v>
      </c>
    </row>
    <row r="140" ht="16" customHeight="1">
      <c r="B140" s="58" t="inlineStr">
        <is>
          <t>Amex CC</t>
        </is>
      </c>
      <c r="C140" s="58" t="inlineStr">
        <is>
          <t>07/02/2026</t>
        </is>
      </c>
      <c r="D140" s="58" t="inlineStr">
        <is>
          <t>Expense</t>
        </is>
      </c>
      <c r="E140" s="58" t="inlineStr"/>
      <c r="F140" s="58" t="inlineStr"/>
      <c r="G140" s="58" t="inlineStr">
        <is>
          <t>Interest Charge on Pay Over Time Purchases</t>
        </is>
      </c>
      <c r="H140" s="58" t="inlineStr">
        <is>
          <t>Interest paid</t>
        </is>
      </c>
      <c r="I140" s="59" t="n">
        <v>175.89</v>
      </c>
      <c r="J140" s="59" t="n">
        <v>4823.190000000001</v>
      </c>
      <c r="K140" s="60" t="inlineStr">
        <is>
          <t>MATCHED</t>
        </is>
      </c>
      <c r="L140" s="61" t="inlineStr">
        <is>
          <t>Standard ledger entry</t>
        </is>
      </c>
    </row>
    <row r="141" ht="16" customHeight="1">
      <c r="B141" s="58" t="inlineStr">
        <is>
          <t>Amex CC</t>
        </is>
      </c>
      <c r="C141" s="58" t="inlineStr">
        <is>
          <t>07/02/2026</t>
        </is>
      </c>
      <c r="D141" s="58" t="inlineStr">
        <is>
          <t>Expense</t>
        </is>
      </c>
      <c r="E141" s="58" t="inlineStr"/>
      <c r="F141" s="58" t="inlineStr"/>
      <c r="G141" s="58" t="inlineStr">
        <is>
          <t>ACTIVATE PLANO*ACTIVPLANO               TX</t>
        </is>
      </c>
      <c r="H141" s="58" t="inlineStr">
        <is>
          <t>Shareholders' equity:Distributions</t>
        </is>
      </c>
      <c r="I141" s="59" t="n">
        <v>116.87</v>
      </c>
      <c r="J141" s="59" t="n">
        <v>4940.06</v>
      </c>
      <c r="K141" s="60" t="inlineStr">
        <is>
          <t>MATCHED</t>
        </is>
      </c>
      <c r="L141" s="61" t="inlineStr">
        <is>
          <t>Matched to historical category: Shareholders' equity:Distributions</t>
        </is>
      </c>
    </row>
    <row r="142" ht="16" customHeight="1">
      <c r="B142" s="58" t="inlineStr">
        <is>
          <t>Amex CC</t>
        </is>
      </c>
      <c r="C142" s="58" t="inlineStr">
        <is>
          <t>07/03/2026</t>
        </is>
      </c>
      <c r="D142" s="58" t="inlineStr">
        <is>
          <t>Expense</t>
        </is>
      </c>
      <c r="E142" s="58" t="inlineStr"/>
      <c r="F142" s="58" t="inlineStr"/>
      <c r="G142" s="58" t="inlineStr">
        <is>
          <t>COMCAST / XFINITY   800-266-2278        FL</t>
        </is>
      </c>
      <c r="H142" s="58" t="inlineStr">
        <is>
          <t>Utilities:Other</t>
        </is>
      </c>
      <c r="I142" s="59" t="n">
        <v>100.05</v>
      </c>
      <c r="J142" s="59" t="n">
        <v>5040.110000000001</v>
      </c>
      <c r="K142" s="60" t="inlineStr">
        <is>
          <t>MATCHED</t>
        </is>
      </c>
      <c r="L142" s="61" t="inlineStr">
        <is>
          <t>Matched to historical category: Utilities:Other</t>
        </is>
      </c>
    </row>
    <row r="143" ht="16" customHeight="1">
      <c r="B143" s="58" t="inlineStr">
        <is>
          <t>Amex CC</t>
        </is>
      </c>
      <c r="C143" s="58" t="inlineStr">
        <is>
          <t>07/04/2026</t>
        </is>
      </c>
      <c r="D143" s="58" t="inlineStr">
        <is>
          <t>Expense</t>
        </is>
      </c>
      <c r="E143" s="58" t="inlineStr"/>
      <c r="F143" s="58" t="inlineStr"/>
      <c r="G143" s="58" t="inlineStr">
        <is>
          <t>FASTRAK CSC TOLLS   OAKLAND             CA</t>
        </is>
      </c>
      <c r="H143" s="58" t="inlineStr">
        <is>
          <t>Vehicle expenses:Parking &amp; tolls</t>
        </is>
      </c>
      <c r="I143" s="59" t="n">
        <v>50</v>
      </c>
      <c r="J143" s="59" t="n">
        <v>5090.110000000001</v>
      </c>
      <c r="K143" s="60" t="inlineStr">
        <is>
          <t>MATCHED</t>
        </is>
      </c>
      <c r="L143" s="61" t="inlineStr">
        <is>
          <t>Matched to historical category: Vehicle expenses:Parking &amp; tolls</t>
        </is>
      </c>
    </row>
    <row r="144" ht="16" customHeight="1">
      <c r="B144" s="58" t="inlineStr">
        <is>
          <t>Amex CC</t>
        </is>
      </c>
      <c r="C144" s="58" t="inlineStr">
        <is>
          <t>07/04/2026</t>
        </is>
      </c>
      <c r="D144" s="58" t="inlineStr">
        <is>
          <t>Expense</t>
        </is>
      </c>
      <c r="E144" s="58" t="inlineStr"/>
      <c r="F144" s="58" t="inlineStr"/>
      <c r="G144" s="58" t="inlineStr">
        <is>
          <t>NETFLIX.COM         866-579-7172        CA</t>
        </is>
      </c>
      <c r="H144" s="58" t="inlineStr">
        <is>
          <t>General business expenses:Memberships &amp; subscriptions</t>
        </is>
      </c>
      <c r="I144" s="59" t="n">
        <v>26.99</v>
      </c>
      <c r="J144" s="59" t="n">
        <v>5117.1</v>
      </c>
      <c r="K144" s="60" t="inlineStr">
        <is>
          <t>MATCHED</t>
        </is>
      </c>
      <c r="L144" s="61" t="inlineStr">
        <is>
          <t>Matched to historical category: General business expenses:Memberships &amp; subscriptions</t>
        </is>
      </c>
    </row>
    <row r="145" ht="16" customHeight="1">
      <c r="B145" s="58" t="inlineStr">
        <is>
          <t>Amex CC</t>
        </is>
      </c>
      <c r="C145" s="58" t="inlineStr">
        <is>
          <t>07/04/2026</t>
        </is>
      </c>
      <c r="D145" s="58" t="inlineStr">
        <is>
          <t>Expense</t>
        </is>
      </c>
      <c r="E145" s="58" t="inlineStr"/>
      <c r="F145" s="58" t="inlineStr"/>
      <c r="G145" s="58" t="inlineStr">
        <is>
          <t>TST* ROWDY COWBOY - THE COLONY          TX</t>
        </is>
      </c>
      <c r="H145" s="58" t="inlineStr">
        <is>
          <t>Meals &amp; Entertainment:Meals with clients</t>
        </is>
      </c>
      <c r="I145" s="59" t="n">
        <v>100.4</v>
      </c>
      <c r="J145" s="59" t="n">
        <v>5217.5</v>
      </c>
      <c r="K145" s="60" t="inlineStr">
        <is>
          <t>MATCHED</t>
        </is>
      </c>
      <c r="L145" s="61" t="inlineStr">
        <is>
          <t>Standard ledger entry</t>
        </is>
      </c>
    </row>
    <row r="146" ht="16" customHeight="1">
      <c r="B146" s="58" t="inlineStr">
        <is>
          <t>Amex CC</t>
        </is>
      </c>
      <c r="C146" s="58" t="inlineStr">
        <is>
          <t>07/06/2026</t>
        </is>
      </c>
      <c r="D146" s="58" t="inlineStr">
        <is>
          <t>Expense</t>
        </is>
      </c>
      <c r="E146" s="58" t="inlineStr"/>
      <c r="F146" s="58" t="inlineStr"/>
      <c r="G146" s="58" t="inlineStr">
        <is>
          <t>UBER EATS           help.uber.com       CA</t>
        </is>
      </c>
      <c r="H146" s="58" t="inlineStr">
        <is>
          <t>Meals &amp; Entertainment:Meals with clients</t>
        </is>
      </c>
      <c r="I146" s="59" t="n">
        <v>94.91</v>
      </c>
      <c r="J146" s="59" t="n">
        <v>5312.41</v>
      </c>
      <c r="K146" s="60" t="inlineStr">
        <is>
          <t>MATCHED</t>
        </is>
      </c>
      <c r="L146" s="61" t="inlineStr">
        <is>
          <t>Matched to historical category: Meals &amp; Entertainment:Meals with clients</t>
        </is>
      </c>
    </row>
    <row r="147" ht="16" customHeight="1">
      <c r="B147" s="58" t="inlineStr">
        <is>
          <t>Amex CC</t>
        </is>
      </c>
      <c r="C147" s="58" t="inlineStr">
        <is>
          <t>07/06/2026</t>
        </is>
      </c>
      <c r="D147" s="58" t="inlineStr">
        <is>
          <t>Expense</t>
        </is>
      </c>
      <c r="E147" s="58" t="inlineStr"/>
      <c r="F147" s="58" t="inlineStr"/>
      <c r="G147" s="58" t="inlineStr">
        <is>
          <t>AplPay DFW TV5 STOREDALLAS              TX</t>
        </is>
      </c>
      <c r="H147" s="58" t="inlineStr">
        <is>
          <t>Meals &amp; Entertainment:Entertainment</t>
        </is>
      </c>
      <c r="I147" s="59" t="n">
        <v>17.19</v>
      </c>
      <c r="J147" s="59" t="n">
        <v>5329.599999999999</v>
      </c>
      <c r="K147" s="60" t="inlineStr">
        <is>
          <t>MATCHED</t>
        </is>
      </c>
      <c r="L147" s="61" t="inlineStr">
        <is>
          <t>Standard ledger entry</t>
        </is>
      </c>
    </row>
    <row r="148" ht="16" customHeight="1">
      <c r="B148" s="58" t="inlineStr">
        <is>
          <t>Amex CC</t>
        </is>
      </c>
      <c r="C148" s="58" t="inlineStr">
        <is>
          <t>07/07/2026</t>
        </is>
      </c>
      <c r="D148" s="58" t="inlineStr">
        <is>
          <t>Expense</t>
        </is>
      </c>
      <c r="E148" s="58" t="inlineStr"/>
      <c r="F148" s="58" t="inlineStr"/>
      <c r="G148" s="58" t="inlineStr">
        <is>
          <t>AplPay MAQS         Wilmington          DE</t>
        </is>
      </c>
      <c r="H148" s="58" t="inlineStr">
        <is>
          <t>Meals &amp; Entertainment:Meals with clients</t>
        </is>
      </c>
      <c r="I148" s="59" t="n">
        <v>13</v>
      </c>
      <c r="J148" s="59" t="n">
        <v>5342.599999999999</v>
      </c>
      <c r="K148" s="60" t="inlineStr">
        <is>
          <t>MATCHED</t>
        </is>
      </c>
      <c r="L148" s="61" t="inlineStr">
        <is>
          <t>Standard ledger entry</t>
        </is>
      </c>
    </row>
    <row r="149" ht="16" customHeight="1">
      <c r="B149" s="58" t="inlineStr">
        <is>
          <t>Amex CC</t>
        </is>
      </c>
      <c r="C149" s="58" t="inlineStr">
        <is>
          <t>07/08/2026</t>
        </is>
      </c>
      <c r="D149" s="58" t="inlineStr">
        <is>
          <t>Expense</t>
        </is>
      </c>
      <c r="E149" s="58" t="inlineStr"/>
      <c r="F149" s="58" t="inlineStr"/>
      <c r="G149" s="58" t="inlineStr">
        <is>
          <t>CINEMARK            PLANO               TX</t>
        </is>
      </c>
      <c r="H149" s="58" t="inlineStr">
        <is>
          <t>Meals &amp; Entertainment:Entertainment</t>
        </is>
      </c>
      <c r="I149" s="59" t="n">
        <v>12.99</v>
      </c>
      <c r="J149" s="59" t="n">
        <v>5355.589999999999</v>
      </c>
      <c r="K149" s="60" t="inlineStr">
        <is>
          <t>MATCHED</t>
        </is>
      </c>
      <c r="L149" s="61" t="inlineStr">
        <is>
          <t>Standard ledger entry</t>
        </is>
      </c>
    </row>
    <row r="150" ht="16" customHeight="1">
      <c r="B150" s="58" t="inlineStr">
        <is>
          <t>Amex CC</t>
        </is>
      </c>
      <c r="C150" s="58" t="inlineStr">
        <is>
          <t>07/09/2026</t>
        </is>
      </c>
      <c r="D150" s="58" t="inlineStr">
        <is>
          <t>Expense</t>
        </is>
      </c>
      <c r="E150" s="58" t="inlineStr"/>
      <c r="F150" s="58" t="inlineStr"/>
      <c r="G150" s="58" t="inlineStr">
        <is>
          <t>QUIK STOP 0166/UNBRAVACAVILLE           CA</t>
        </is>
      </c>
      <c r="H150" s="58" t="inlineStr">
        <is>
          <t>Gas And Fuel</t>
        </is>
      </c>
      <c r="I150" s="59" t="n">
        <v>86.31999999999999</v>
      </c>
      <c r="J150" s="59" t="n">
        <v>5441.909999999999</v>
      </c>
      <c r="K150" s="60" t="inlineStr">
        <is>
          <t>MATCHED</t>
        </is>
      </c>
      <c r="L150" s="61" t="inlineStr">
        <is>
          <t>Matched to historical category: Gas And Fuel</t>
        </is>
      </c>
    </row>
    <row r="151" ht="16" customHeight="1">
      <c r="B151" s="58" t="inlineStr">
        <is>
          <t>Amex CC</t>
        </is>
      </c>
      <c r="C151" s="58" t="inlineStr">
        <is>
          <t>07/09/2026</t>
        </is>
      </c>
      <c r="D151" s="58" t="inlineStr">
        <is>
          <t>Expense</t>
        </is>
      </c>
      <c r="E151" s="58" t="inlineStr"/>
      <c r="F151" s="58" t="inlineStr"/>
      <c r="G151" s="58" t="inlineStr">
        <is>
          <t>AplPay AMK BLACKROCKWILMINGTON          DE</t>
        </is>
      </c>
      <c r="H151" s="58" t="inlineStr">
        <is>
          <t>Meals &amp; Entertainment:Meals with clients</t>
        </is>
      </c>
      <c r="I151" s="59" t="n">
        <v>3.59</v>
      </c>
      <c r="J151" s="59" t="n">
        <v>5445.499999999999</v>
      </c>
      <c r="K151" s="60" t="inlineStr">
        <is>
          <t>MATCHED</t>
        </is>
      </c>
      <c r="L151" s="61" t="inlineStr">
        <is>
          <t>Standard ledger entry</t>
        </is>
      </c>
    </row>
    <row r="152" ht="16" customHeight="1">
      <c r="B152" s="58" t="inlineStr">
        <is>
          <t>Amex CC</t>
        </is>
      </c>
      <c r="C152" s="58" t="inlineStr">
        <is>
          <t>07/10/2026</t>
        </is>
      </c>
      <c r="D152" s="58" t="inlineStr">
        <is>
          <t>Expense</t>
        </is>
      </c>
      <c r="E152" s="58" t="inlineStr"/>
      <c r="F152" s="58" t="inlineStr"/>
      <c r="G152" s="58" t="inlineStr">
        <is>
          <t>INTUIT QUICKBOOKS   800-446-8848        CA</t>
        </is>
      </c>
      <c r="H152" s="58" t="inlineStr">
        <is>
          <t>Dues &amp; subscriptions</t>
        </is>
      </c>
      <c r="I152" s="59" t="n">
        <v>38</v>
      </c>
      <c r="J152" s="59" t="n">
        <v>5483.499999999999</v>
      </c>
      <c r="K152" s="60" t="inlineStr">
        <is>
          <t>MATCHED</t>
        </is>
      </c>
      <c r="L152" s="61" t="inlineStr">
        <is>
          <t>Matched to historical category: Dues &amp; subscriptions</t>
        </is>
      </c>
    </row>
    <row r="153" ht="16" customHeight="1">
      <c r="B153" s="58" t="inlineStr">
        <is>
          <t>Amex CC</t>
        </is>
      </c>
      <c r="C153" s="58" t="inlineStr">
        <is>
          <t>07/10/2026</t>
        </is>
      </c>
      <c r="D153" s="58" t="inlineStr">
        <is>
          <t>Expense</t>
        </is>
      </c>
      <c r="E153" s="58" t="inlineStr"/>
      <c r="F153" s="58" t="inlineStr"/>
      <c r="G153" s="58" t="inlineStr">
        <is>
          <t>AplPay WAWA FUEL/CONNEW CASTLE          DE</t>
        </is>
      </c>
      <c r="H153" s="58" t="inlineStr">
        <is>
          <t>Travel:Auto Expenses</t>
        </is>
      </c>
      <c r="I153" s="59" t="n">
        <v>68.13</v>
      </c>
      <c r="J153" s="59" t="n">
        <v>5551.629999999999</v>
      </c>
      <c r="K153" s="60" t="inlineStr">
        <is>
          <t>MATCHED</t>
        </is>
      </c>
      <c r="L153" s="61" t="inlineStr">
        <is>
          <t>Matched to historical category: Travel:Auto Expenses</t>
        </is>
      </c>
    </row>
    <row r="154" ht="16" customHeight="1">
      <c r="B154" s="71" t="inlineStr">
        <is>
          <t>Amex CC</t>
        </is>
      </c>
      <c r="C154" s="71" t="inlineStr">
        <is>
          <t>07/10/2026</t>
        </is>
      </c>
      <c r="D154" s="71" t="inlineStr">
        <is>
          <t>Expense</t>
        </is>
      </c>
      <c r="E154" s="71" t="inlineStr"/>
      <c r="F154" s="71" t="inlineStr"/>
      <c r="G154" s="71" t="inlineStr">
        <is>
          <t>PY *BANNER PEST SERVSAN JOSE            CA</t>
        </is>
      </c>
      <c r="H154" s="71" t="inlineStr">
        <is>
          <t>Office expenses:Office supplies</t>
        </is>
      </c>
      <c r="I154" s="72" t="n">
        <v>150</v>
      </c>
      <c r="J154" s="72" t="n">
        <v>5701.629999999999</v>
      </c>
      <c r="K154" s="73" t="inlineStr">
        <is>
          <t>CATEGORY MISMATCH</t>
        </is>
      </c>
      <c r="L154" s="74" t="inlineStr">
        <is>
          <t>Expected 'Repairs &amp; maintenance', found 'Office expenses:Office supplies'.</t>
        </is>
      </c>
    </row>
    <row r="155" ht="16" customHeight="1">
      <c r="B155" s="58" t="inlineStr">
        <is>
          <t>Amex CC</t>
        </is>
      </c>
      <c r="C155" s="58" t="inlineStr">
        <is>
          <t>07/10/2026</t>
        </is>
      </c>
      <c r="D155" s="58" t="inlineStr">
        <is>
          <t>Expense</t>
        </is>
      </c>
      <c r="E155" s="58" t="inlineStr"/>
      <c r="F155" s="58" t="inlineStr"/>
      <c r="G155" s="58" t="inlineStr">
        <is>
          <t>TST* CURED - 18TH ANCOLUMBIA            MD</t>
        </is>
      </c>
      <c r="H155" s="58" t="inlineStr">
        <is>
          <t>Meals &amp; Entertainment:Meals with clients</t>
        </is>
      </c>
      <c r="I155" s="59" t="n">
        <v>166.27</v>
      </c>
      <c r="J155" s="59" t="n">
        <v>5867.9</v>
      </c>
      <c r="K155" s="60" t="inlineStr">
        <is>
          <t>MATCHED</t>
        </is>
      </c>
      <c r="L155" s="61" t="inlineStr">
        <is>
          <t>Standard ledger entry</t>
        </is>
      </c>
    </row>
    <row r="156" ht="16" customHeight="1">
      <c r="B156" s="58" t="inlineStr">
        <is>
          <t>Amex CC</t>
        </is>
      </c>
      <c r="C156" s="58" t="inlineStr">
        <is>
          <t>07/11/2026</t>
        </is>
      </c>
      <c r="D156" s="58" t="inlineStr">
        <is>
          <t>Expense</t>
        </is>
      </c>
      <c r="E156" s="58" t="inlineStr"/>
      <c r="F156" s="58" t="inlineStr"/>
      <c r="G156" s="58" t="inlineStr">
        <is>
          <t>CSAA INSURANCE EXCHAWALNUT CREEK        CA</t>
        </is>
      </c>
      <c r="H156" s="58" t="inlineStr">
        <is>
          <t>Insurance</t>
        </is>
      </c>
      <c r="I156" s="59" t="n">
        <v>206</v>
      </c>
      <c r="J156" s="59" t="n">
        <v>6073.9</v>
      </c>
      <c r="K156" s="60" t="inlineStr">
        <is>
          <t>MATCHED</t>
        </is>
      </c>
      <c r="L156" s="61" t="inlineStr">
        <is>
          <t>Matched to historical category: Insurance</t>
        </is>
      </c>
    </row>
    <row r="157" ht="16" customHeight="1">
      <c r="B157" s="58" t="inlineStr">
        <is>
          <t>Amex CC</t>
        </is>
      </c>
      <c r="C157" s="58" t="inlineStr">
        <is>
          <t>07/11/2026</t>
        </is>
      </c>
      <c r="D157" s="58" t="inlineStr">
        <is>
          <t>Expense</t>
        </is>
      </c>
      <c r="E157" s="58" t="inlineStr"/>
      <c r="F157" s="58" t="inlineStr"/>
      <c r="G157" s="58" t="inlineStr">
        <is>
          <t>CSAA INSURANCE EXCHAWALNUT CREEK        CA</t>
        </is>
      </c>
      <c r="H157" s="58" t="inlineStr">
        <is>
          <t>Insurance</t>
        </is>
      </c>
      <c r="I157" s="59" t="n">
        <v>646.83</v>
      </c>
      <c r="J157" s="59" t="n">
        <v>6720.73</v>
      </c>
      <c r="K157" s="60" t="inlineStr">
        <is>
          <t>MATCHED</t>
        </is>
      </c>
      <c r="L157" s="61" t="inlineStr">
        <is>
          <t>Matched to historical category: Insurance</t>
        </is>
      </c>
    </row>
    <row r="158" ht="16" customHeight="1">
      <c r="B158" s="58" t="inlineStr">
        <is>
          <t>Amex CC</t>
        </is>
      </c>
      <c r="C158" s="58" t="inlineStr">
        <is>
          <t>07/11/2026</t>
        </is>
      </c>
      <c r="D158" s="58" t="inlineStr">
        <is>
          <t>Expense</t>
        </is>
      </c>
      <c r="E158" s="58" t="inlineStr"/>
      <c r="F158" s="58" t="inlineStr"/>
      <c r="G158" s="58" t="inlineStr">
        <is>
          <t>PRIME VIDEO *8C9K75P888-802-3080        WA</t>
        </is>
      </c>
      <c r="H158" s="58" t="inlineStr">
        <is>
          <t>General business expenses:Memberships &amp; subscriptions</t>
        </is>
      </c>
      <c r="I158" s="59" t="n">
        <v>1.74</v>
      </c>
      <c r="J158" s="59" t="n">
        <v>6722.469999999999</v>
      </c>
      <c r="K158" s="60" t="inlineStr">
        <is>
          <t>MATCHED</t>
        </is>
      </c>
      <c r="L158" s="61" t="inlineStr">
        <is>
          <t>Matched to historical category: General business expenses:Memberships &amp; subscriptions</t>
        </is>
      </c>
    </row>
    <row r="159" ht="16" customHeight="1">
      <c r="B159" s="58" t="inlineStr">
        <is>
          <t>Amex CC</t>
        </is>
      </c>
      <c r="C159" s="58" t="inlineStr">
        <is>
          <t>07/11/2026</t>
        </is>
      </c>
      <c r="D159" s="58" t="inlineStr">
        <is>
          <t>Expense</t>
        </is>
      </c>
      <c r="E159" s="58" t="inlineStr"/>
      <c r="F159" s="58" t="inlineStr"/>
      <c r="G159" s="58" t="inlineStr">
        <is>
          <t>PRIME VIDEO *P33WS3L888-802-3080        WA</t>
        </is>
      </c>
      <c r="H159" s="58" t="inlineStr">
        <is>
          <t>General business expenses:Memberships &amp; subscriptions</t>
        </is>
      </c>
      <c r="I159" s="59" t="n">
        <v>3.99</v>
      </c>
      <c r="J159" s="59" t="n">
        <v>6726.459999999999</v>
      </c>
      <c r="K159" s="60" t="inlineStr">
        <is>
          <t>MATCHED</t>
        </is>
      </c>
      <c r="L159" s="61" t="inlineStr">
        <is>
          <t>Matched to historical category: General business expenses:Memberships &amp; subscriptions</t>
        </is>
      </c>
    </row>
    <row r="160" ht="16" customHeight="1">
      <c r="B160" s="58" t="inlineStr">
        <is>
          <t>Amex CC</t>
        </is>
      </c>
      <c r="C160" s="58" t="inlineStr">
        <is>
          <t>07/11/2026</t>
        </is>
      </c>
      <c r="D160" s="58" t="inlineStr">
        <is>
          <t>Expense</t>
        </is>
      </c>
      <c r="E160" s="58" t="inlineStr"/>
      <c r="F160" s="58" t="inlineStr"/>
      <c r="G160" s="58" t="inlineStr">
        <is>
          <t>AplPay TST* PITANGO BALTIMORE           MD</t>
        </is>
      </c>
      <c r="H160" s="58" t="inlineStr">
        <is>
          <t>Meals &amp; Entertainment:Meals with clients</t>
        </is>
      </c>
      <c r="I160" s="59" t="n">
        <v>21.18</v>
      </c>
      <c r="J160" s="59" t="n">
        <v>6747.639999999999</v>
      </c>
      <c r="K160" s="60" t="inlineStr">
        <is>
          <t>MATCHED</t>
        </is>
      </c>
      <c r="L160" s="61" t="inlineStr">
        <is>
          <t>Standard ledger entry</t>
        </is>
      </c>
    </row>
    <row r="161" ht="16" customHeight="1">
      <c r="B161" s="58" t="inlineStr">
        <is>
          <t>Amex CC</t>
        </is>
      </c>
      <c r="C161" s="58" t="inlineStr">
        <is>
          <t>07/11/2026</t>
        </is>
      </c>
      <c r="D161" s="58" t="inlineStr">
        <is>
          <t>Expense</t>
        </is>
      </c>
      <c r="E161" s="58" t="inlineStr"/>
      <c r="F161" s="58" t="inlineStr"/>
      <c r="G161" s="58" t="inlineStr">
        <is>
          <t>MAX'S TAPHOUSE      Baltimore           MD</t>
        </is>
      </c>
      <c r="H161" s="58" t="inlineStr">
        <is>
          <t>Meals &amp; Entertainment:Meals with clients</t>
        </is>
      </c>
      <c r="I161" s="59" t="n">
        <v>30.62</v>
      </c>
      <c r="J161" s="59" t="n">
        <v>6778.259999999999</v>
      </c>
      <c r="K161" s="60" t="inlineStr">
        <is>
          <t>MATCHED</t>
        </is>
      </c>
      <c r="L161" s="61" t="inlineStr">
        <is>
          <t>Standard ledger entry</t>
        </is>
      </c>
    </row>
    <row r="162" ht="16" customHeight="1">
      <c r="B162" s="58" t="inlineStr">
        <is>
          <t>Amex CC</t>
        </is>
      </c>
      <c r="C162" s="58" t="inlineStr">
        <is>
          <t>07/12/2026</t>
        </is>
      </c>
      <c r="D162" s="58" t="inlineStr">
        <is>
          <t>Expense</t>
        </is>
      </c>
      <c r="E162" s="58" t="inlineStr"/>
      <c r="F162" s="58" t="inlineStr"/>
      <c r="G162" s="58" t="inlineStr">
        <is>
          <t>TST* FOUR SISTERS CAROSEVILLE           CA</t>
        </is>
      </c>
      <c r="H162" s="58" t="inlineStr">
        <is>
          <t>Meals &amp; Entertainment:Meals with clients</t>
        </is>
      </c>
      <c r="I162" s="59" t="n">
        <v>163.49</v>
      </c>
      <c r="J162" s="59" t="n">
        <v>6941.749999999999</v>
      </c>
      <c r="K162" s="60" t="inlineStr">
        <is>
          <t>MATCHED</t>
        </is>
      </c>
      <c r="L162" s="61" t="inlineStr">
        <is>
          <t>Standard ledger entry</t>
        </is>
      </c>
    </row>
    <row r="163" ht="16" customHeight="1">
      <c r="B163" s="58" t="inlineStr">
        <is>
          <t>Amex CC</t>
        </is>
      </c>
      <c r="C163" s="58" t="inlineStr">
        <is>
          <t>07/12/2026</t>
        </is>
      </c>
      <c r="D163" s="58" t="inlineStr">
        <is>
          <t>Expense</t>
        </is>
      </c>
      <c r="E163" s="58" t="inlineStr"/>
      <c r="F163" s="58" t="inlineStr"/>
      <c r="G163" s="58" t="inlineStr">
        <is>
          <t>UBER EATS           help.uber.com       CA</t>
        </is>
      </c>
      <c r="H163" s="58" t="inlineStr">
        <is>
          <t>Meals &amp; Entertainment:Meals with clients</t>
        </is>
      </c>
      <c r="I163" s="59" t="n">
        <v>122.31</v>
      </c>
      <c r="J163" s="59" t="n">
        <v>7064.059999999999</v>
      </c>
      <c r="K163" s="60" t="inlineStr">
        <is>
          <t>MATCHED</t>
        </is>
      </c>
      <c r="L163" s="61" t="inlineStr">
        <is>
          <t>Matched to historical category: Meals &amp; Entertainment:Meals with clients</t>
        </is>
      </c>
    </row>
    <row r="164" ht="16" customHeight="1">
      <c r="B164" s="58" t="inlineStr">
        <is>
          <t>Amex CC</t>
        </is>
      </c>
      <c r="C164" s="58" t="inlineStr">
        <is>
          <t>07/13/2026</t>
        </is>
      </c>
      <c r="D164" s="58" t="inlineStr">
        <is>
          <t>Expense</t>
        </is>
      </c>
      <c r="E164" s="58" t="inlineStr"/>
      <c r="F164" s="58" t="inlineStr"/>
      <c r="G164" s="58" t="inlineStr">
        <is>
          <t>AplPay TODAYTIX, INCNEW YORK            NY</t>
        </is>
      </c>
      <c r="H164" s="58" t="inlineStr">
        <is>
          <t>Meals &amp; Entertainment:Meals with clients</t>
        </is>
      </c>
      <c r="I164" s="59" t="n">
        <v>187</v>
      </c>
      <c r="J164" s="59" t="n">
        <v>7251.059999999999</v>
      </c>
      <c r="K164" s="60" t="inlineStr">
        <is>
          <t>MATCHED</t>
        </is>
      </c>
      <c r="L164" s="61" t="inlineStr">
        <is>
          <t>Standard ledger entry</t>
        </is>
      </c>
    </row>
    <row r="165" ht="16" customHeight="1">
      <c r="B165" s="58" t="inlineStr">
        <is>
          <t>Amex CC</t>
        </is>
      </c>
      <c r="C165" s="58" t="inlineStr">
        <is>
          <t>07/15/2026</t>
        </is>
      </c>
      <c r="D165" s="58" t="inlineStr">
        <is>
          <t>Expense</t>
        </is>
      </c>
      <c r="E165" s="58" t="inlineStr"/>
      <c r="F165" s="58" t="inlineStr"/>
      <c r="G165" s="58" t="inlineStr">
        <is>
          <t>AT&amp;T UVERSE PAYMENT 8002882020          TX</t>
        </is>
      </c>
      <c r="H165" s="58" t="inlineStr">
        <is>
          <t>Utilities:Phone service</t>
        </is>
      </c>
      <c r="I165" s="59" t="n">
        <v>100.41</v>
      </c>
      <c r="J165" s="59" t="n">
        <v>7351.469999999999</v>
      </c>
      <c r="K165" s="60" t="inlineStr">
        <is>
          <t>MATCHED</t>
        </is>
      </c>
      <c r="L165" s="61" t="inlineStr">
        <is>
          <t>Matched to historical category: Utilities:Phone service</t>
        </is>
      </c>
    </row>
    <row r="166" ht="16" customHeight="1">
      <c r="B166" s="58" t="inlineStr">
        <is>
          <t>Amex CC</t>
        </is>
      </c>
      <c r="C166" s="58" t="inlineStr">
        <is>
          <t>07/15/2026</t>
        </is>
      </c>
      <c r="D166" s="58" t="inlineStr">
        <is>
          <t>Expense</t>
        </is>
      </c>
      <c r="E166" s="58" t="inlineStr"/>
      <c r="F166" s="58" t="inlineStr"/>
      <c r="G166" s="58" t="inlineStr">
        <is>
          <t>AplPay WAWA FUEL/CONNEW CASTLE          DE</t>
        </is>
      </c>
      <c r="H166" s="58" t="inlineStr">
        <is>
          <t>Travel:Auto Expenses</t>
        </is>
      </c>
      <c r="I166" s="59" t="n">
        <v>59.61</v>
      </c>
      <c r="J166" s="59" t="n">
        <v>7411.079999999999</v>
      </c>
      <c r="K166" s="60" t="inlineStr">
        <is>
          <t>MATCHED</t>
        </is>
      </c>
      <c r="L166" s="61" t="inlineStr">
        <is>
          <t>Matched to historical category: Travel:Auto Expenses</t>
        </is>
      </c>
    </row>
    <row r="167" ht="16" customHeight="1">
      <c r="B167" s="58" t="inlineStr">
        <is>
          <t>Amex CC</t>
        </is>
      </c>
      <c r="C167" s="58" t="inlineStr">
        <is>
          <t>07/15/2026</t>
        </is>
      </c>
      <c r="D167" s="58" t="inlineStr">
        <is>
          <t>Expense</t>
        </is>
      </c>
      <c r="E167" s="58" t="inlineStr"/>
      <c r="F167" s="58" t="inlineStr"/>
      <c r="G167" s="58" t="inlineStr">
        <is>
          <t>AplPay WHOLEFDS CCV GLEN MILLS          PA</t>
        </is>
      </c>
      <c r="H167" s="58" t="inlineStr">
        <is>
          <t>Meals &amp; Entertainment:Meals with clients</t>
        </is>
      </c>
      <c r="I167" s="59" t="n">
        <v>33.31</v>
      </c>
      <c r="J167" s="59" t="n">
        <v>7444.389999999999</v>
      </c>
      <c r="K167" s="60" t="inlineStr">
        <is>
          <t>MATCHED</t>
        </is>
      </c>
      <c r="L167" s="61" t="inlineStr">
        <is>
          <t>Standard ledger entry</t>
        </is>
      </c>
    </row>
    <row r="168" ht="16" customHeight="1">
      <c r="B168" s="58" t="inlineStr">
        <is>
          <t>Amex CC</t>
        </is>
      </c>
      <c r="C168" s="58" t="inlineStr">
        <is>
          <t>07/16/2026</t>
        </is>
      </c>
      <c r="D168" s="58" t="inlineStr">
        <is>
          <t>Expense</t>
        </is>
      </c>
      <c r="E168" s="58" t="inlineStr"/>
      <c r="F168" s="58" t="inlineStr"/>
      <c r="G168" s="58" t="inlineStr">
        <is>
          <t>ANTHROPIC* CLAUDE SUSAN FRANCISCO       CA</t>
        </is>
      </c>
      <c r="H168" s="58" t="inlineStr">
        <is>
          <t>Office expenses:Software &amp; apps</t>
        </is>
      </c>
      <c r="I168" s="59" t="n">
        <v>20</v>
      </c>
      <c r="J168" s="59" t="n">
        <v>7464.389999999999</v>
      </c>
      <c r="K168" s="60" t="inlineStr">
        <is>
          <t>MATCHED</t>
        </is>
      </c>
      <c r="L168" s="61" t="inlineStr">
        <is>
          <t>Matched to historical category: Office expenses:Software &amp; apps</t>
        </is>
      </c>
    </row>
    <row r="169" ht="16" customHeight="1">
      <c r="B169" s="58" t="inlineStr">
        <is>
          <t>Amex CC</t>
        </is>
      </c>
      <c r="C169" s="58" t="inlineStr">
        <is>
          <t>07/16/2026</t>
        </is>
      </c>
      <c r="D169" s="58" t="inlineStr">
        <is>
          <t>Expense</t>
        </is>
      </c>
      <c r="E169" s="58" t="inlineStr"/>
      <c r="F169" s="58" t="inlineStr"/>
      <c r="G169" s="58" t="inlineStr">
        <is>
          <t>AplPay SPOTHERO 844-CHICAGO             IL</t>
        </is>
      </c>
      <c r="H169" s="58" t="inlineStr">
        <is>
          <t>Vehicle expenses:Parking &amp; tolls</t>
        </is>
      </c>
      <c r="I169" s="59" t="n">
        <v>47.7</v>
      </c>
      <c r="J169" s="59" t="n">
        <v>7512.089999999999</v>
      </c>
      <c r="K169" s="60" t="inlineStr">
        <is>
          <t>MATCHED</t>
        </is>
      </c>
      <c r="L169" s="61" t="inlineStr">
        <is>
          <t>Matched to historical category: Vehicle expenses:Parking &amp; tolls</t>
        </is>
      </c>
    </row>
    <row r="170" ht="16" customHeight="1">
      <c r="B170" s="58" t="inlineStr">
        <is>
          <t>Amex CC</t>
        </is>
      </c>
      <c r="C170" s="58" t="inlineStr">
        <is>
          <t>07/16/2026</t>
        </is>
      </c>
      <c r="D170" s="58" t="inlineStr">
        <is>
          <t>Expense</t>
        </is>
      </c>
      <c r="E170" s="58" t="inlineStr"/>
      <c r="F170" s="58" t="inlineStr"/>
      <c r="G170" s="58" t="inlineStr">
        <is>
          <t>GORDHAN THAL        EDISON              NJ</t>
        </is>
      </c>
      <c r="H170" s="58" t="inlineStr">
        <is>
          <t>Meals &amp; Entertainment:Meals with clients</t>
        </is>
      </c>
      <c r="I170" s="59" t="n">
        <v>84.62</v>
      </c>
      <c r="J170" s="59" t="n">
        <v>7596.709999999999</v>
      </c>
      <c r="K170" s="60" t="inlineStr">
        <is>
          <t>MATCHED</t>
        </is>
      </c>
      <c r="L170" s="61" t="inlineStr">
        <is>
          <t>Standard ledger entry</t>
        </is>
      </c>
    </row>
    <row r="171" ht="16" customHeight="1">
      <c r="B171" s="58" t="inlineStr">
        <is>
          <t>Amex CC</t>
        </is>
      </c>
      <c r="C171" s="58" t="inlineStr">
        <is>
          <t>07/17/2026</t>
        </is>
      </c>
      <c r="D171" s="58" t="inlineStr">
        <is>
          <t>Expense</t>
        </is>
      </c>
      <c r="E171" s="58" t="inlineStr"/>
      <c r="F171" s="58" t="inlineStr"/>
      <c r="G171" s="58" t="inlineStr">
        <is>
          <t>SYNERGY BADMINTON ACMENLO PARK          CA</t>
        </is>
      </c>
      <c r="H171" s="58" t="inlineStr">
        <is>
          <t>Owners Distribution</t>
        </is>
      </c>
      <c r="I171" s="59" t="n">
        <v>5</v>
      </c>
      <c r="J171" s="59" t="n">
        <v>7601.709999999999</v>
      </c>
      <c r="K171" s="60" t="inlineStr">
        <is>
          <t>MATCHED</t>
        </is>
      </c>
      <c r="L171" s="61" t="inlineStr">
        <is>
          <t>Matched to historical category: Owners Distribution</t>
        </is>
      </c>
    </row>
    <row r="172" ht="16" customHeight="1">
      <c r="B172" s="58" t="inlineStr">
        <is>
          <t>Amex CC</t>
        </is>
      </c>
      <c r="C172" s="58" t="inlineStr">
        <is>
          <t>07/17/2026</t>
        </is>
      </c>
      <c r="D172" s="58" t="inlineStr">
        <is>
          <t>Expense</t>
        </is>
      </c>
      <c r="E172" s="58" t="inlineStr"/>
      <c r="F172" s="58" t="inlineStr"/>
      <c r="G172" s="58" t="inlineStr">
        <is>
          <t>SYNERGY BADMINTON ACMENLO PARK          CA</t>
        </is>
      </c>
      <c r="H172" s="58" t="inlineStr">
        <is>
          <t>Owners Distribution</t>
        </is>
      </c>
      <c r="I172" s="59" t="n">
        <v>5</v>
      </c>
      <c r="J172" s="59" t="n">
        <v>7606.709999999999</v>
      </c>
      <c r="K172" s="60" t="inlineStr">
        <is>
          <t>MATCHED</t>
        </is>
      </c>
      <c r="L172" s="61" t="inlineStr">
        <is>
          <t>Matched to historical category: Owners Distribution</t>
        </is>
      </c>
    </row>
    <row r="173" ht="16" customHeight="1">
      <c r="B173" s="58" t="inlineStr">
        <is>
          <t>Amex CC</t>
        </is>
      </c>
      <c r="C173" s="58" t="inlineStr">
        <is>
          <t>07/17/2026</t>
        </is>
      </c>
      <c r="D173" s="58" t="inlineStr">
        <is>
          <t>Expense</t>
        </is>
      </c>
      <c r="E173" s="58" t="inlineStr"/>
      <c r="F173" s="58" t="inlineStr"/>
      <c r="G173" s="58" t="inlineStr">
        <is>
          <t>SYNERGY BADMINTON ACMENLO PARK          CA</t>
        </is>
      </c>
      <c r="H173" s="58" t="inlineStr">
        <is>
          <t>Owners Distribution</t>
        </is>
      </c>
      <c r="I173" s="59" t="n">
        <v>22.5</v>
      </c>
      <c r="J173" s="59" t="n">
        <v>7629.209999999999</v>
      </c>
      <c r="K173" s="60" t="inlineStr">
        <is>
          <t>MATCHED</t>
        </is>
      </c>
      <c r="L173" s="61" t="inlineStr">
        <is>
          <t>Matched to historical category: Owners Distribution</t>
        </is>
      </c>
    </row>
    <row r="174" ht="16" customHeight="1">
      <c r="B174" s="58" t="inlineStr">
        <is>
          <t>Amex CC</t>
        </is>
      </c>
      <c r="C174" s="58" t="inlineStr">
        <is>
          <t>07/17/2026</t>
        </is>
      </c>
      <c r="D174" s="58" t="inlineStr">
        <is>
          <t>Expense</t>
        </is>
      </c>
      <c r="E174" s="58" t="inlineStr"/>
      <c r="F174" s="58" t="inlineStr"/>
      <c r="G174" s="58" t="inlineStr">
        <is>
          <t>SYNERGY BADMINTON ACMENLO PARK          CA</t>
        </is>
      </c>
      <c r="H174" s="58" t="inlineStr">
        <is>
          <t>Owners Distribution</t>
        </is>
      </c>
      <c r="I174" s="59" t="n">
        <v>67.5</v>
      </c>
      <c r="J174" s="59" t="n">
        <v>7696.709999999999</v>
      </c>
      <c r="K174" s="60" t="inlineStr">
        <is>
          <t>MATCHED</t>
        </is>
      </c>
      <c r="L174" s="61" t="inlineStr">
        <is>
          <t>Matched to historical category: Owners Distribution</t>
        </is>
      </c>
    </row>
    <row r="175" ht="16" customHeight="1">
      <c r="B175" s="58" t="inlineStr">
        <is>
          <t>Amex CC</t>
        </is>
      </c>
      <c r="C175" s="58" t="inlineStr">
        <is>
          <t>07/17/2026</t>
        </is>
      </c>
      <c r="D175" s="58" t="inlineStr">
        <is>
          <t>Expense</t>
        </is>
      </c>
      <c r="E175" s="58" t="inlineStr"/>
      <c r="F175" s="58" t="inlineStr"/>
      <c r="G175" s="58" t="inlineStr">
        <is>
          <t>FASTRAK CSC TOLLS   OAKLAND             CA</t>
        </is>
      </c>
      <c r="H175" s="58" t="inlineStr">
        <is>
          <t>Vehicle expenses:Parking &amp; tolls</t>
        </is>
      </c>
      <c r="I175" s="59" t="n">
        <v>50</v>
      </c>
      <c r="J175" s="59" t="n">
        <v>7746.709999999999</v>
      </c>
      <c r="K175" s="60" t="inlineStr">
        <is>
          <t>MATCHED</t>
        </is>
      </c>
      <c r="L175" s="61" t="inlineStr">
        <is>
          <t>Matched to historical category: Vehicle expenses:Parking &amp; tolls</t>
        </is>
      </c>
    </row>
    <row r="176" ht="16" customHeight="1">
      <c r="B176" s="58" t="inlineStr">
        <is>
          <t>Amex CC</t>
        </is>
      </c>
      <c r="C176" s="58" t="inlineStr">
        <is>
          <t>07/18/2026</t>
        </is>
      </c>
      <c r="D176" s="58" t="inlineStr">
        <is>
          <t>Expense</t>
        </is>
      </c>
      <c r="E176" s="58" t="inlineStr"/>
      <c r="F176" s="58" t="inlineStr"/>
      <c r="G176" s="58" t="inlineStr">
        <is>
          <t>UNION 76 09439498   FREMONT             CA</t>
        </is>
      </c>
      <c r="H176" s="58" t="inlineStr">
        <is>
          <t>Gas And Fuel</t>
        </is>
      </c>
      <c r="I176" s="59" t="n">
        <v>105.17</v>
      </c>
      <c r="J176" s="59" t="n">
        <v>7851.879999999999</v>
      </c>
      <c r="K176" s="60" t="inlineStr">
        <is>
          <t>MATCHED</t>
        </is>
      </c>
      <c r="L176" s="61" t="inlineStr">
        <is>
          <t>Matched to historical category: Gas And Fuel</t>
        </is>
      </c>
    </row>
    <row r="177" ht="16" customHeight="1">
      <c r="B177" s="58" t="inlineStr">
        <is>
          <t>Amex CC</t>
        </is>
      </c>
      <c r="C177" s="58" t="inlineStr">
        <is>
          <t>07/18/2026</t>
        </is>
      </c>
      <c r="D177" s="58" t="inlineStr">
        <is>
          <t>Expense</t>
        </is>
      </c>
      <c r="E177" s="58" t="inlineStr"/>
      <c r="F177" s="58" t="inlineStr"/>
      <c r="G177" s="58" t="inlineStr">
        <is>
          <t>AplPay TST* TIKKA MANEWARK              DE</t>
        </is>
      </c>
      <c r="H177" s="58" t="inlineStr">
        <is>
          <t>Meals &amp; Entertainment:Meals with clients</t>
        </is>
      </c>
      <c r="I177" s="59" t="n">
        <v>32.98</v>
      </c>
      <c r="J177" s="59" t="n">
        <v>7884.859999999999</v>
      </c>
      <c r="K177" s="60" t="inlineStr">
        <is>
          <t>MATCHED</t>
        </is>
      </c>
      <c r="L177" s="61" t="inlineStr">
        <is>
          <t>Standard ledger entry</t>
        </is>
      </c>
    </row>
    <row r="178" ht="16" customHeight="1">
      <c r="B178" s="58" t="inlineStr">
        <is>
          <t>Amex CC</t>
        </is>
      </c>
      <c r="C178" s="58" t="inlineStr">
        <is>
          <t>07/19/2026</t>
        </is>
      </c>
      <c r="D178" s="58" t="inlineStr">
        <is>
          <t>Expense</t>
        </is>
      </c>
      <c r="E178" s="58" t="inlineStr"/>
      <c r="F178" s="58" t="inlineStr"/>
      <c r="G178" s="58" t="inlineStr">
        <is>
          <t>UBER</t>
        </is>
      </c>
      <c r="H178" s="58" t="inlineStr">
        <is>
          <t>Travel:Taxis or shared rides</t>
        </is>
      </c>
      <c r="I178" s="59" t="n">
        <v>5</v>
      </c>
      <c r="J178" s="59" t="n">
        <v>7889.859999999999</v>
      </c>
      <c r="K178" s="60" t="inlineStr">
        <is>
          <t>MATCHED</t>
        </is>
      </c>
      <c r="L178" s="61" t="inlineStr">
        <is>
          <t>Matched to historical category: Travel:Taxis or shared rides</t>
        </is>
      </c>
    </row>
    <row r="179" ht="16" customHeight="1">
      <c r="B179" s="58" t="inlineStr">
        <is>
          <t>Amex CC</t>
        </is>
      </c>
      <c r="C179" s="58" t="inlineStr">
        <is>
          <t>07/19/2026</t>
        </is>
      </c>
      <c r="D179" s="58" t="inlineStr">
        <is>
          <t>Expense</t>
        </is>
      </c>
      <c r="E179" s="58" t="inlineStr"/>
      <c r="F179" s="58" t="inlineStr"/>
      <c r="G179" s="58" t="inlineStr">
        <is>
          <t>AplPay WAWA FUEL/CONNEW CASTLE          DE</t>
        </is>
      </c>
      <c r="H179" s="58" t="inlineStr">
        <is>
          <t>Travel:Auto Expenses</t>
        </is>
      </c>
      <c r="I179" s="59" t="n">
        <v>61.54</v>
      </c>
      <c r="J179" s="59" t="n">
        <v>7951.399999999999</v>
      </c>
      <c r="K179" s="60" t="inlineStr">
        <is>
          <t>MATCHED</t>
        </is>
      </c>
      <c r="L179" s="61" t="inlineStr">
        <is>
          <t>Matched to historical category: Travel:Auto Expenses</t>
        </is>
      </c>
    </row>
    <row r="180" ht="16" customHeight="1">
      <c r="B180" s="58" t="inlineStr">
        <is>
          <t>Amex CC</t>
        </is>
      </c>
      <c r="C180" s="58" t="inlineStr">
        <is>
          <t>07/19/2026</t>
        </is>
      </c>
      <c r="D180" s="58" t="inlineStr">
        <is>
          <t>Expense</t>
        </is>
      </c>
      <c r="E180" s="58" t="inlineStr"/>
      <c r="F180" s="58" t="inlineStr"/>
      <c r="G180" s="58" t="inlineStr">
        <is>
          <t>FREEWHEEL BREWING COFremont             CA</t>
        </is>
      </c>
      <c r="H180" s="58" t="inlineStr">
        <is>
          <t>Owners Distribution</t>
        </is>
      </c>
      <c r="I180" s="59" t="n">
        <v>67.64</v>
      </c>
      <c r="J180" s="59" t="n">
        <v>8019.039999999999</v>
      </c>
      <c r="K180" s="60" t="inlineStr">
        <is>
          <t>MATCHED</t>
        </is>
      </c>
      <c r="L180" s="61" t="inlineStr">
        <is>
          <t>Matched to historical category: Owners Distribution</t>
        </is>
      </c>
    </row>
    <row r="181" ht="16" customHeight="1">
      <c r="B181" s="58" t="inlineStr">
        <is>
          <t>Amex CC</t>
        </is>
      </c>
      <c r="C181" s="58" t="inlineStr">
        <is>
          <t>07/20/2026</t>
        </is>
      </c>
      <c r="D181" s="58" t="inlineStr">
        <is>
          <t>Expense</t>
        </is>
      </c>
      <c r="E181" s="58" t="inlineStr"/>
      <c r="F181" s="58" t="inlineStr"/>
      <c r="G181" s="58" t="inlineStr">
        <is>
          <t>UBER</t>
        </is>
      </c>
      <c r="H181" s="58" t="inlineStr">
        <is>
          <t>Travel:Taxis or shared rides</t>
        </is>
      </c>
      <c r="I181" s="59" t="n">
        <v>20.95</v>
      </c>
      <c r="J181" s="59" t="n">
        <v>8039.989999999999</v>
      </c>
      <c r="K181" s="60" t="inlineStr">
        <is>
          <t>MATCHED</t>
        </is>
      </c>
      <c r="L181" s="61" t="inlineStr">
        <is>
          <t>Matched to historical category: Travel:Taxis or shared rides</t>
        </is>
      </c>
    </row>
    <row r="182" ht="16" customHeight="1">
      <c r="B182" s="58" t="inlineStr">
        <is>
          <t>Amex CC</t>
        </is>
      </c>
      <c r="C182" s="58" t="inlineStr">
        <is>
          <t>07/20/2026</t>
        </is>
      </c>
      <c r="D182" s="58" t="inlineStr">
        <is>
          <t>Expense</t>
        </is>
      </c>
      <c r="E182" s="58" t="inlineStr"/>
      <c r="F182" s="58" t="inlineStr"/>
      <c r="G182" s="58" t="inlineStr">
        <is>
          <t>RINGCENTRAL INC     888-898-4591        CA</t>
        </is>
      </c>
      <c r="H182" s="58" t="inlineStr">
        <is>
          <t>Utilities:Phone service</t>
        </is>
      </c>
      <c r="I182" s="59" t="n">
        <v>467.59</v>
      </c>
      <c r="J182" s="59" t="n">
        <v>8507.579999999998</v>
      </c>
      <c r="K182" s="60" t="inlineStr">
        <is>
          <t>MATCHED</t>
        </is>
      </c>
      <c r="L182" s="61" t="inlineStr">
        <is>
          <t>Matched to historical category: Utilities:Phone service</t>
        </is>
      </c>
    </row>
    <row r="183" ht="16" customHeight="1">
      <c r="B183" s="58" t="inlineStr">
        <is>
          <t>Amex CC</t>
        </is>
      </c>
      <c r="C183" s="58" t="inlineStr">
        <is>
          <t>07/22/2026</t>
        </is>
      </c>
      <c r="D183" s="58" t="inlineStr">
        <is>
          <t>Expense</t>
        </is>
      </c>
      <c r="E183" s="58" t="inlineStr"/>
      <c r="F183" s="58" t="inlineStr"/>
      <c r="G183" s="58" t="inlineStr">
        <is>
          <t>AplPay ALDI 60213 21WILMINGTON          DE</t>
        </is>
      </c>
      <c r="H183" s="58" t="inlineStr">
        <is>
          <t>Meals &amp; Entertainment:Meals with clients</t>
        </is>
      </c>
      <c r="I183" s="59" t="n">
        <v>9.460000000000001</v>
      </c>
      <c r="J183" s="59" t="n">
        <v>8517.039999999997</v>
      </c>
      <c r="K183" s="60" t="inlineStr">
        <is>
          <t>MATCHED</t>
        </is>
      </c>
      <c r="L183" s="61" t="inlineStr">
        <is>
          <t>Standard ledger entry</t>
        </is>
      </c>
    </row>
    <row r="184" ht="16" customHeight="1">
      <c r="B184" s="58" t="inlineStr">
        <is>
          <t>Amex CC</t>
        </is>
      </c>
      <c r="C184" s="58" t="inlineStr">
        <is>
          <t>07/22/2026</t>
        </is>
      </c>
      <c r="D184" s="58" t="inlineStr">
        <is>
          <t>Expense</t>
        </is>
      </c>
      <c r="E184" s="58" t="inlineStr"/>
      <c r="F184" s="58" t="inlineStr"/>
      <c r="G184" s="58" t="inlineStr">
        <is>
          <t>AplPay PARIVAAR SUPENEW CASTLE          DE</t>
        </is>
      </c>
      <c r="H184" s="58" t="inlineStr">
        <is>
          <t>Meals &amp; Entertainment:Meals with clients</t>
        </is>
      </c>
      <c r="I184" s="59" t="n">
        <v>26.07</v>
      </c>
      <c r="J184" s="59" t="n">
        <v>8543.109999999997</v>
      </c>
      <c r="K184" s="60" t="inlineStr">
        <is>
          <t>MATCHED</t>
        </is>
      </c>
      <c r="L184" s="61" t="inlineStr">
        <is>
          <t>Standard ledger entry</t>
        </is>
      </c>
    </row>
    <row r="185" ht="16" customHeight="1">
      <c r="B185" s="58" t="inlineStr">
        <is>
          <t>Amex CC</t>
        </is>
      </c>
      <c r="C185" s="58" t="inlineStr">
        <is>
          <t>07/23/2026</t>
        </is>
      </c>
      <c r="D185" s="58" t="inlineStr">
        <is>
          <t>Expense</t>
        </is>
      </c>
      <c r="E185" s="58" t="inlineStr"/>
      <c r="F185" s="58" t="inlineStr"/>
      <c r="G185" s="58" t="inlineStr">
        <is>
          <t>HP INSTANT INK DELIV855-785-2777        CA</t>
        </is>
      </c>
      <c r="H185" s="58" t="inlineStr">
        <is>
          <t>Office expenses:Office supplies</t>
        </is>
      </c>
      <c r="I185" s="59" t="n">
        <v>8.81</v>
      </c>
      <c r="J185" s="59" t="n">
        <v>8551.919999999996</v>
      </c>
      <c r="K185" s="60" t="inlineStr">
        <is>
          <t>MATCHED</t>
        </is>
      </c>
      <c r="L185" s="61" t="inlineStr">
        <is>
          <t>Matched to historical category: Office expenses:Office supplies</t>
        </is>
      </c>
    </row>
    <row r="186" ht="16" customHeight="1">
      <c r="B186" s="58" t="inlineStr">
        <is>
          <t>Amex CC</t>
        </is>
      </c>
      <c r="C186" s="58" t="inlineStr">
        <is>
          <t>07/23/2026</t>
        </is>
      </c>
      <c r="D186" s="58" t="inlineStr">
        <is>
          <t>Expense</t>
        </is>
      </c>
      <c r="E186" s="58" t="inlineStr"/>
      <c r="F186" s="58" t="inlineStr"/>
      <c r="G186" s="58" t="inlineStr">
        <is>
          <t>CSAA INSURANCE EXCHAWALNUT CREEK        CA</t>
        </is>
      </c>
      <c r="H186" s="58" t="inlineStr">
        <is>
          <t>Insurance</t>
        </is>
      </c>
      <c r="I186" s="59" t="n">
        <v>269.59</v>
      </c>
      <c r="J186" s="59" t="n">
        <v>8821.509999999997</v>
      </c>
      <c r="K186" s="60" t="inlineStr">
        <is>
          <t>MATCHED</t>
        </is>
      </c>
      <c r="L186" s="61" t="inlineStr">
        <is>
          <t>Matched to historical category: Insurance</t>
        </is>
      </c>
    </row>
    <row r="187" ht="16" customHeight="1">
      <c r="B187" s="58" t="inlineStr">
        <is>
          <t>Amex CC</t>
        </is>
      </c>
      <c r="C187" s="58" t="inlineStr">
        <is>
          <t>07/23/2026</t>
        </is>
      </c>
      <c r="D187" s="58" t="inlineStr">
        <is>
          <t>Expense</t>
        </is>
      </c>
      <c r="E187" s="58" t="inlineStr"/>
      <c r="F187" s="58" t="inlineStr"/>
      <c r="G187" s="58" t="inlineStr">
        <is>
          <t>DELMARVA PWR PAYMENTNEWARK              DE</t>
        </is>
      </c>
      <c r="H187" s="58" t="inlineStr">
        <is>
          <t>Utilities:Electricity</t>
        </is>
      </c>
      <c r="I187" s="59" t="n">
        <v>157.15</v>
      </c>
      <c r="J187" s="59" t="n">
        <v>8978.659999999996</v>
      </c>
      <c r="K187" s="60" t="inlineStr">
        <is>
          <t>MATCHED</t>
        </is>
      </c>
      <c r="L187" s="61" t="inlineStr">
        <is>
          <t>Matched to historical category: Utilities:Electricity</t>
        </is>
      </c>
    </row>
    <row r="188" ht="16" customHeight="1">
      <c r="B188" s="58" t="inlineStr">
        <is>
          <t>Amex CC</t>
        </is>
      </c>
      <c r="C188" s="58" t="inlineStr">
        <is>
          <t>07/23/2026</t>
        </is>
      </c>
      <c r="D188" s="58" t="inlineStr">
        <is>
          <t>Expense</t>
        </is>
      </c>
      <c r="E188" s="58" t="inlineStr"/>
      <c r="F188" s="58" t="inlineStr"/>
      <c r="G188" s="58" t="inlineStr">
        <is>
          <t>GUMA GUMALU         FREMONT             CA</t>
        </is>
      </c>
      <c r="H188" s="58" t="inlineStr">
        <is>
          <t>Meals &amp; Entertainment:Meals with clients</t>
        </is>
      </c>
      <c r="I188" s="59" t="n">
        <v>150.11</v>
      </c>
      <c r="J188" s="59" t="n">
        <v>9128.769999999997</v>
      </c>
      <c r="K188" s="60" t="inlineStr">
        <is>
          <t>MATCHED</t>
        </is>
      </c>
      <c r="L188" s="61" t="inlineStr">
        <is>
          <t>Standard ledger entry</t>
        </is>
      </c>
    </row>
    <row r="189" ht="16" customHeight="1">
      <c r="B189" s="62" t="inlineStr">
        <is>
          <t>Amex CC</t>
        </is>
      </c>
      <c r="C189" s="62" t="inlineStr">
        <is>
          <t>07/24/2026</t>
        </is>
      </c>
      <c r="D189" s="62" t="inlineStr">
        <is>
          <t>Credit Card Payment</t>
        </is>
      </c>
      <c r="E189" s="62" t="inlineStr"/>
      <c r="F189" s="62" t="inlineStr">
        <is>
          <t>Amex CC</t>
        </is>
      </c>
      <c r="G189" s="62" t="inlineStr">
        <is>
          <t>AMERICAN EXPRESS DES:ACH PMT ID:W4206 INDN:SNEHA DATLA CO ID:1133133497 CCD</t>
        </is>
      </c>
      <c r="H189" s="62" t="inlineStr">
        <is>
          <t>Bank of America</t>
        </is>
      </c>
      <c r="I189" s="63" t="n">
        <v>-4823.19</v>
      </c>
      <c r="J189" s="63" t="n">
        <v>4305.579999999997</v>
      </c>
      <c r="K189" s="64" t="inlineStr">
        <is>
          <t>CC VENDOR UPDATED</t>
        </is>
      </c>
      <c r="L189" s="65" t="inlineStr">
        <is>
          <t>Vendor Name set to 'Amex CC'</t>
        </is>
      </c>
    </row>
    <row r="190" ht="16" customHeight="1">
      <c r="B190" s="58" t="inlineStr">
        <is>
          <t>Amex CC</t>
        </is>
      </c>
      <c r="C190" s="58" t="inlineStr">
        <is>
          <t>07/24/2026</t>
        </is>
      </c>
      <c r="D190" s="58" t="inlineStr">
        <is>
          <t>Expense</t>
        </is>
      </c>
      <c r="E190" s="58" t="inlineStr"/>
      <c r="F190" s="58" t="inlineStr"/>
      <c r="G190" s="58" t="inlineStr">
        <is>
          <t>AplPay STARBUCKS STOWILMINGTON          DE</t>
        </is>
      </c>
      <c r="H190" s="58" t="inlineStr">
        <is>
          <t>Meals &amp; Entertainment:Meals with clients</t>
        </is>
      </c>
      <c r="I190" s="59" t="n">
        <v>8.5</v>
      </c>
      <c r="J190" s="59" t="n">
        <v>4314.079999999997</v>
      </c>
      <c r="K190" s="60" t="inlineStr">
        <is>
          <t>MATCHED</t>
        </is>
      </c>
      <c r="L190" s="61" t="inlineStr">
        <is>
          <t>Standard ledger entry</t>
        </is>
      </c>
    </row>
    <row r="191" ht="16" customHeight="1">
      <c r="B191" s="58" t="inlineStr">
        <is>
          <t>Amex CC</t>
        </is>
      </c>
      <c r="C191" s="58" t="inlineStr">
        <is>
          <t>07/24/2026</t>
        </is>
      </c>
      <c r="D191" s="58" t="inlineStr">
        <is>
          <t>Expense</t>
        </is>
      </c>
      <c r="E191" s="58" t="inlineStr"/>
      <c r="F191" s="58" t="inlineStr"/>
      <c r="G191" s="58" t="inlineStr">
        <is>
          <t>SANGAM FINE INDIAN CWILMINGTON          DE</t>
        </is>
      </c>
      <c r="H191" s="58" t="inlineStr">
        <is>
          <t>Meals &amp; Entertainment:Meals with clients</t>
        </is>
      </c>
      <c r="I191" s="59" t="n">
        <v>52</v>
      </c>
      <c r="J191" s="59" t="n">
        <v>4366.079999999997</v>
      </c>
      <c r="K191" s="60" t="inlineStr">
        <is>
          <t>MATCHED</t>
        </is>
      </c>
      <c r="L191" s="61" t="inlineStr">
        <is>
          <t>Standard ledger entry</t>
        </is>
      </c>
    </row>
    <row r="192" ht="16" customHeight="1">
      <c r="B192" s="58" t="inlineStr">
        <is>
          <t>Amex CC</t>
        </is>
      </c>
      <c r="C192" s="58" t="inlineStr">
        <is>
          <t>07/25/2026</t>
        </is>
      </c>
      <c r="D192" s="58" t="inlineStr">
        <is>
          <t>Expense</t>
        </is>
      </c>
      <c r="E192" s="58" t="inlineStr"/>
      <c r="F192" s="58" t="inlineStr"/>
      <c r="G192" s="58" t="inlineStr">
        <is>
          <t>AplPay TST* PURE ROOWILMINGTON          DE</t>
        </is>
      </c>
      <c r="H192" s="58" t="inlineStr">
        <is>
          <t>Meals &amp; Entertainment:Meals with clients</t>
        </is>
      </c>
      <c r="I192" s="59" t="n">
        <v>11.45</v>
      </c>
      <c r="J192" s="59" t="n">
        <v>4377.529999999997</v>
      </c>
      <c r="K192" s="60" t="inlineStr">
        <is>
          <t>MATCHED</t>
        </is>
      </c>
      <c r="L192" s="61" t="inlineStr">
        <is>
          <t>Standard ledger entry</t>
        </is>
      </c>
    </row>
    <row r="193" ht="16" customHeight="1">
      <c r="B193" s="58" t="inlineStr">
        <is>
          <t>Amex CC</t>
        </is>
      </c>
      <c r="C193" s="58" t="inlineStr">
        <is>
          <t>07/26/2026</t>
        </is>
      </c>
      <c r="D193" s="58" t="inlineStr">
        <is>
          <t>Expense</t>
        </is>
      </c>
      <c r="E193" s="58" t="inlineStr"/>
      <c r="F193" s="58" t="inlineStr"/>
      <c r="G193" s="58" t="inlineStr">
        <is>
          <t>UBER ONE            help.uber.com       CA</t>
        </is>
      </c>
      <c r="H193" s="58" t="inlineStr">
        <is>
          <t>Travel:Taxis or shared rides</t>
        </is>
      </c>
      <c r="I193" s="59" t="n">
        <v>9.99</v>
      </c>
      <c r="J193" s="59" t="n">
        <v>4387.519999999997</v>
      </c>
      <c r="K193" s="60" t="inlineStr">
        <is>
          <t>MATCHED</t>
        </is>
      </c>
      <c r="L193" s="61" t="inlineStr">
        <is>
          <t>Matched to historical category: Travel:Taxis or shared rides</t>
        </is>
      </c>
    </row>
    <row r="194" ht="16" customHeight="1">
      <c r="B194" s="58" t="inlineStr">
        <is>
          <t>Amex CC</t>
        </is>
      </c>
      <c r="C194" s="58" t="inlineStr">
        <is>
          <t>07/27/2026</t>
        </is>
      </c>
      <c r="D194" s="58" t="inlineStr">
        <is>
          <t>Expense</t>
        </is>
      </c>
      <c r="E194" s="58" t="inlineStr"/>
      <c r="F194" s="58" t="inlineStr"/>
      <c r="G194" s="58" t="inlineStr">
        <is>
          <t>LINKEDIN*P3060481887MOUNTAIN VIEW</t>
        </is>
      </c>
      <c r="H194" s="58" t="inlineStr">
        <is>
          <t>Office expenses:Software &amp; apps</t>
        </is>
      </c>
      <c r="I194" s="59" t="n">
        <v>272.17</v>
      </c>
      <c r="J194" s="59" t="n">
        <v>4659.689999999997</v>
      </c>
      <c r="K194" s="60" t="inlineStr">
        <is>
          <t>MATCHED</t>
        </is>
      </c>
      <c r="L194" s="61" t="inlineStr">
        <is>
          <t>Matched to historical category: Office expenses:Software &amp; apps</t>
        </is>
      </c>
    </row>
    <row r="195" ht="16" customHeight="1">
      <c r="B195" s="71" t="inlineStr">
        <is>
          <t>Amex CC</t>
        </is>
      </c>
      <c r="C195" s="71" t="inlineStr">
        <is>
          <t>07/28/2026</t>
        </is>
      </c>
      <c r="D195" s="71" t="inlineStr">
        <is>
          <t>Credit Card Credit</t>
        </is>
      </c>
      <c r="E195" s="71" t="inlineStr"/>
      <c r="F195" s="71" t="inlineStr"/>
      <c r="G195" s="71" t="inlineStr">
        <is>
          <t>AMEX Wireless Credit</t>
        </is>
      </c>
      <c r="H195" s="71" t="inlineStr">
        <is>
          <t>Utilities:Phone service</t>
        </is>
      </c>
      <c r="I195" s="72" t="n">
        <v>-10</v>
      </c>
      <c r="J195" s="72" t="n">
        <v>4649.689999999997</v>
      </c>
      <c r="K195" s="73" t="inlineStr">
        <is>
          <t>CATEGORY MISMATCH</t>
        </is>
      </c>
      <c r="L195" s="74" t="inlineStr">
        <is>
          <t>Expected 'Amex CC', found 'Utilities:Phone service'.</t>
        </is>
      </c>
    </row>
    <row r="196" ht="16" customHeight="1">
      <c r="B196" s="58" t="inlineStr">
        <is>
          <t>Amex CC</t>
        </is>
      </c>
      <c r="C196" s="58" t="inlineStr">
        <is>
          <t>07/28/2026</t>
        </is>
      </c>
      <c r="D196" s="58" t="inlineStr">
        <is>
          <t>Expense</t>
        </is>
      </c>
      <c r="E196" s="58" t="inlineStr"/>
      <c r="F196" s="58" t="inlineStr"/>
      <c r="G196" s="58" t="inlineStr">
        <is>
          <t>AplPay DCG DELAWARE MIDDLETOWN          DE</t>
        </is>
      </c>
      <c r="H196" s="58" t="inlineStr">
        <is>
          <t>Meals &amp; Entertainment:Meals with clients</t>
        </is>
      </c>
      <c r="I196" s="59" t="n">
        <v>24.72</v>
      </c>
      <c r="J196" s="59" t="n">
        <v>4674.409999999997</v>
      </c>
      <c r="K196" s="60" t="inlineStr">
        <is>
          <t>MATCHED</t>
        </is>
      </c>
      <c r="L196" s="61" t="inlineStr">
        <is>
          <t>Standard ledger entry</t>
        </is>
      </c>
    </row>
    <row r="197" ht="16" customHeight="1">
      <c r="B197" s="58" t="inlineStr">
        <is>
          <t>Amex CC</t>
        </is>
      </c>
      <c r="C197" s="58" t="inlineStr">
        <is>
          <t>07/28/2026</t>
        </is>
      </c>
      <c r="D197" s="58" t="inlineStr">
        <is>
          <t>Expense</t>
        </is>
      </c>
      <c r="E197" s="58" t="inlineStr"/>
      <c r="F197" s="58" t="inlineStr"/>
      <c r="G197" s="58" t="inlineStr">
        <is>
          <t>CHEVRON 0306177/CHEVFREMONT             CA</t>
        </is>
      </c>
      <c r="H197" s="58" t="inlineStr">
        <is>
          <t>Gas And Fuel</t>
        </is>
      </c>
      <c r="I197" s="59" t="n">
        <v>101.62</v>
      </c>
      <c r="J197" s="59" t="n">
        <v>4776.029999999997</v>
      </c>
      <c r="K197" s="60" t="inlineStr">
        <is>
          <t>MATCHED</t>
        </is>
      </c>
      <c r="L197" s="61" t="inlineStr">
        <is>
          <t>Matched to historical category: Gas And Fuel</t>
        </is>
      </c>
    </row>
    <row r="198" ht="16" customHeight="1">
      <c r="B198" s="58" t="inlineStr">
        <is>
          <t>Amex CC</t>
        </is>
      </c>
      <c r="C198" s="58" t="inlineStr">
        <is>
          <t>07/28/2026</t>
        </is>
      </c>
      <c r="D198" s="58" t="inlineStr">
        <is>
          <t>Expense</t>
        </is>
      </c>
      <c r="E198" s="58" t="inlineStr"/>
      <c r="F198" s="58" t="inlineStr"/>
      <c r="G198" s="58" t="inlineStr">
        <is>
          <t>VONAGE BUSINESS SOLU(866)901-0242       GA</t>
        </is>
      </c>
      <c r="H198" s="58" t="inlineStr">
        <is>
          <t>Utilities:Phone service</t>
        </is>
      </c>
      <c r="I198" s="59" t="n">
        <v>457.46</v>
      </c>
      <c r="J198" s="59" t="n">
        <v>5233.489999999997</v>
      </c>
      <c r="K198" s="60" t="inlineStr">
        <is>
          <t>MATCHED</t>
        </is>
      </c>
      <c r="L198" s="61" t="inlineStr">
        <is>
          <t>Matched to historical category: Utilities:Phone service</t>
        </is>
      </c>
    </row>
    <row r="199" ht="16" customHeight="1">
      <c r="B199" s="58" t="inlineStr">
        <is>
          <t>Amex CC</t>
        </is>
      </c>
      <c r="C199" s="58" t="inlineStr">
        <is>
          <t>07/28/2026</t>
        </is>
      </c>
      <c r="D199" s="58" t="inlineStr">
        <is>
          <t>Expense</t>
        </is>
      </c>
      <c r="E199" s="58" t="inlineStr"/>
      <c r="F199" s="58" t="inlineStr"/>
      <c r="G199" s="58" t="inlineStr">
        <is>
          <t>AplPay WONDER       NEW YORK            NY</t>
        </is>
      </c>
      <c r="H199" s="58" t="inlineStr">
        <is>
          <t>Meals &amp; Entertainment:Meals with clients</t>
        </is>
      </c>
      <c r="I199" s="59" t="n">
        <v>12.45</v>
      </c>
      <c r="J199" s="59" t="n">
        <v>5245.939999999997</v>
      </c>
      <c r="K199" s="60" t="inlineStr">
        <is>
          <t>MATCHED</t>
        </is>
      </c>
      <c r="L199" s="61" t="inlineStr">
        <is>
          <t>Standard ledger entry</t>
        </is>
      </c>
    </row>
    <row r="200" ht="16" customHeight="1">
      <c r="B200" s="58" t="inlineStr">
        <is>
          <t>Amex CC</t>
        </is>
      </c>
      <c r="C200" s="58" t="inlineStr">
        <is>
          <t>07/29/2026</t>
        </is>
      </c>
      <c r="D200" s="58" t="inlineStr">
        <is>
          <t>Expense</t>
        </is>
      </c>
      <c r="E200" s="58" t="inlineStr"/>
      <c r="F200" s="58" t="inlineStr"/>
      <c r="G200" s="58" t="inlineStr">
        <is>
          <t>AplPay WAWA FUEL/CONNEW CASTLE          DE</t>
        </is>
      </c>
      <c r="H200" s="58" t="inlineStr">
        <is>
          <t>Travel:Auto Expenses</t>
        </is>
      </c>
      <c r="I200" s="59" t="n">
        <v>63.46</v>
      </c>
      <c r="J200" s="59" t="n">
        <v>5309.399999999997</v>
      </c>
      <c r="K200" s="60" t="inlineStr">
        <is>
          <t>MATCHED</t>
        </is>
      </c>
      <c r="L200" s="61" t="inlineStr">
        <is>
          <t>Matched to historical category: Travel:Auto Expenses</t>
        </is>
      </c>
    </row>
    <row r="201" ht="16" customHeight="1">
      <c r="B201" s="58" t="inlineStr">
        <is>
          <t>Amex CC</t>
        </is>
      </c>
      <c r="C201" s="58" t="inlineStr">
        <is>
          <t>07/30/2026</t>
        </is>
      </c>
      <c r="D201" s="58" t="inlineStr">
        <is>
          <t>Expense</t>
        </is>
      </c>
      <c r="E201" s="58" t="inlineStr"/>
      <c r="F201" s="58" t="inlineStr"/>
      <c r="G201" s="58" t="inlineStr">
        <is>
          <t>UBER</t>
        </is>
      </c>
      <c r="H201" s="58" t="inlineStr">
        <is>
          <t>Travel:Taxis or shared rides</t>
        </is>
      </c>
      <c r="I201" s="59" t="n">
        <v>12.7</v>
      </c>
      <c r="J201" s="59" t="n">
        <v>5322.099999999997</v>
      </c>
      <c r="K201" s="60" t="inlineStr">
        <is>
          <t>MATCHED</t>
        </is>
      </c>
      <c r="L201" s="61" t="inlineStr">
        <is>
          <t>Matched to historical category: Travel:Taxis or shared rides</t>
        </is>
      </c>
    </row>
    <row r="202" ht="16" customHeight="1">
      <c r="B202" s="58" t="inlineStr">
        <is>
          <t>Amex CC</t>
        </is>
      </c>
      <c r="C202" s="58" t="inlineStr">
        <is>
          <t>07/30/2026</t>
        </is>
      </c>
      <c r="D202" s="58" t="inlineStr">
        <is>
          <t>Expense</t>
        </is>
      </c>
      <c r="E202" s="58" t="inlineStr"/>
      <c r="F202" s="58" t="inlineStr"/>
      <c r="G202" s="58" t="inlineStr">
        <is>
          <t>UBER</t>
        </is>
      </c>
      <c r="H202" s="58" t="inlineStr">
        <is>
          <t>Travel:Taxis or shared rides</t>
        </is>
      </c>
      <c r="I202" s="59" t="n">
        <v>14.19</v>
      </c>
      <c r="J202" s="59" t="n">
        <v>5336.289999999996</v>
      </c>
      <c r="K202" s="60" t="inlineStr">
        <is>
          <t>MATCHED</t>
        </is>
      </c>
      <c r="L202" s="61" t="inlineStr">
        <is>
          <t>Matched to historical category: Travel:Taxis or shared rides</t>
        </is>
      </c>
    </row>
    <row r="203" ht="16" customHeight="1">
      <c r="A203" s="37" t="inlineStr">
        <is>
          <t>Total for Amex CC</t>
        </is>
      </c>
      <c r="I203" s="70">
        <f>I139+I140+I141+I142+I143+I144+I145+I146+I147+I148+I149+I150+I151+I152+I153+I154+I155+I156+I157+I158+I159+I160+I161+I162+I163+I164+I165+I166+I167+I168+I169+I170+I171+I172+I173+I174+I175+I176+I177+I178+I179+I180+I181+I182+I183+I184+I185+I186+I187+I188+I189+I190+I191+I192+I193+I194+I195+I196+I197+I198+I199+I200+I201+I202</f>
        <v/>
      </c>
    </row>
    <row r="204" ht="16" customHeight="1">
      <c r="A204" s="36" t="inlineStr">
        <is>
          <t>BOA CC</t>
        </is>
      </c>
    </row>
    <row r="205" ht="16" customHeight="1">
      <c r="B205" s="26" t="inlineStr">
        <is>
          <t>Beginning Balance</t>
        </is>
      </c>
      <c r="J205" s="57" t="n">
        <v>2337.31</v>
      </c>
    </row>
    <row r="206" ht="16" customHeight="1">
      <c r="B206" s="58" t="inlineStr">
        <is>
          <t>BOA CC</t>
        </is>
      </c>
      <c r="C206" s="58" t="inlineStr">
        <is>
          <t>07/02/2026</t>
        </is>
      </c>
      <c r="D206" s="58" t="inlineStr">
        <is>
          <t>Expense</t>
        </is>
      </c>
      <c r="E206" s="58" t="inlineStr"/>
      <c r="F206" s="58" t="inlineStr"/>
      <c r="G206" s="58" t="inlineStr">
        <is>
          <t>DoorDash – Ulavacharu, CA</t>
        </is>
      </c>
      <c r="H206" s="58" t="inlineStr">
        <is>
          <t>Meals &amp; Entertainment:Meals with clients</t>
        </is>
      </c>
      <c r="I206" s="59" t="n">
        <v>34.21</v>
      </c>
      <c r="J206" s="59" t="n">
        <v>2371.52</v>
      </c>
      <c r="K206" s="60" t="inlineStr">
        <is>
          <t>MATCHED</t>
        </is>
      </c>
      <c r="L206" s="61" t="inlineStr">
        <is>
          <t>Matched to historical category: Meals &amp; Entertainment:Meals with clients</t>
        </is>
      </c>
    </row>
    <row r="207" ht="16" customHeight="1">
      <c r="B207" s="58" t="inlineStr">
        <is>
          <t>BOA CC</t>
        </is>
      </c>
      <c r="C207" s="58" t="inlineStr">
        <is>
          <t>07/02/2026</t>
        </is>
      </c>
      <c r="D207" s="58" t="inlineStr">
        <is>
          <t>Expense</t>
        </is>
      </c>
      <c r="E207" s="58" t="inlineStr"/>
      <c r="F207" s="58" t="inlineStr"/>
      <c r="G207" s="58" t="inlineStr">
        <is>
          <t>Google Workspace (Virt Solutions), CA</t>
        </is>
      </c>
      <c r="H207" s="58" t="inlineStr">
        <is>
          <t>Office expenses:Software &amp; apps</t>
        </is>
      </c>
      <c r="I207" s="59" t="n">
        <v>411.84</v>
      </c>
      <c r="J207" s="59" t="n">
        <v>2783.36</v>
      </c>
      <c r="K207" s="60" t="inlineStr">
        <is>
          <t>MATCHED</t>
        </is>
      </c>
      <c r="L207" s="61" t="inlineStr">
        <is>
          <t>Matched to historical category: Office expenses:Software &amp; apps</t>
        </is>
      </c>
    </row>
    <row r="208" ht="16" customHeight="1">
      <c r="B208" s="58" t="inlineStr">
        <is>
          <t>BOA CC</t>
        </is>
      </c>
      <c r="C208" s="58" t="inlineStr">
        <is>
          <t>07/03/2026</t>
        </is>
      </c>
      <c r="D208" s="58" t="inlineStr">
        <is>
          <t>Expense</t>
        </is>
      </c>
      <c r="E208" s="58" t="inlineStr"/>
      <c r="F208" s="58" t="inlineStr"/>
      <c r="G208" s="58" t="inlineStr">
        <is>
          <t>DoorDash – Nagas Kitchen, CA</t>
        </is>
      </c>
      <c r="H208" s="58" t="inlineStr">
        <is>
          <t>Meals &amp; Entertainment:Meals with clients</t>
        </is>
      </c>
      <c r="I208" s="59" t="n">
        <v>121.09</v>
      </c>
      <c r="J208" s="59" t="n">
        <v>2904.45</v>
      </c>
      <c r="K208" s="60" t="inlineStr">
        <is>
          <t>MATCHED</t>
        </is>
      </c>
      <c r="L208" s="61" t="inlineStr">
        <is>
          <t>Matched to historical category: Meals &amp; Entertainment:Meals with clients</t>
        </is>
      </c>
    </row>
    <row r="209" ht="16" customHeight="1">
      <c r="B209" s="58" t="inlineStr">
        <is>
          <t>BOA CC</t>
        </is>
      </c>
      <c r="C209" s="58" t="inlineStr">
        <is>
          <t>07/03/2026</t>
        </is>
      </c>
      <c r="D209" s="58" t="inlineStr">
        <is>
          <t>Expense</t>
        </is>
      </c>
      <c r="E209" s="58" t="inlineStr"/>
      <c r="F209" s="58" t="inlineStr"/>
      <c r="G209" s="58" t="inlineStr">
        <is>
          <t>Finance Charge</t>
        </is>
      </c>
      <c r="H209" s="58" t="inlineStr">
        <is>
          <t>Interest paid</t>
        </is>
      </c>
      <c r="I209" s="59" t="n">
        <v>61.25</v>
      </c>
      <c r="J209" s="59" t="n">
        <v>2965.7</v>
      </c>
      <c r="K209" s="60" t="inlineStr">
        <is>
          <t>MATCHED</t>
        </is>
      </c>
      <c r="L209" s="61" t="inlineStr">
        <is>
          <t>Standard ledger entry</t>
        </is>
      </c>
    </row>
    <row r="210" ht="16" customHeight="1">
      <c r="B210" s="71" t="inlineStr">
        <is>
          <t>BOA CC</t>
        </is>
      </c>
      <c r="C210" s="71" t="inlineStr">
        <is>
          <t>07/03/2026</t>
        </is>
      </c>
      <c r="D210" s="71" t="inlineStr">
        <is>
          <t>Expense</t>
        </is>
      </c>
      <c r="E210" s="71" t="inlineStr"/>
      <c r="F210" s="71" t="inlineStr"/>
      <c r="G210" s="71" t="inlineStr">
        <is>
          <t>DD *DOORDASH HALALGYRO 8559731040 CA</t>
        </is>
      </c>
      <c r="H210" s="71" t="inlineStr">
        <is>
          <t>Meals &amp; Entertainment:Entertainment</t>
        </is>
      </c>
      <c r="I210" s="72" t="n">
        <v>35.85</v>
      </c>
      <c r="J210" s="72" t="n">
        <v>3001.55</v>
      </c>
      <c r="K210" s="73" t="inlineStr">
        <is>
          <t>CATEGORY MISMATCH</t>
        </is>
      </c>
      <c r="L210" s="74" t="inlineStr">
        <is>
          <t>Expected 'Meals &amp; Entertainment:Meals with clients', found 'Meals &amp; Entertainment:Entertainment'.</t>
        </is>
      </c>
    </row>
    <row r="211" ht="16" customHeight="1">
      <c r="B211" s="58" t="inlineStr">
        <is>
          <t>BOA CC</t>
        </is>
      </c>
      <c r="C211" s="58" t="inlineStr">
        <is>
          <t>07/04/2026</t>
        </is>
      </c>
      <c r="D211" s="58" t="inlineStr">
        <is>
          <t>Expense</t>
        </is>
      </c>
      <c r="E211" s="58" t="inlineStr"/>
      <c r="F211" s="58" t="inlineStr"/>
      <c r="G211" s="58" t="inlineStr">
        <is>
          <t>DD *DOORDASH CHIPOTLEM 8559731040 CA</t>
        </is>
      </c>
      <c r="H211" s="58" t="inlineStr">
        <is>
          <t>Meals &amp; Entertainment:Meals with clients</t>
        </is>
      </c>
      <c r="I211" s="59" t="n">
        <v>25.78</v>
      </c>
      <c r="J211" s="59" t="n">
        <v>3027.33</v>
      </c>
      <c r="K211" s="60" t="inlineStr">
        <is>
          <t>MATCHED</t>
        </is>
      </c>
      <c r="L211" s="61" t="inlineStr">
        <is>
          <t>Matched to historical category: Meals &amp; Entertainment:Meals with clients</t>
        </is>
      </c>
    </row>
    <row r="212" ht="16" customHeight="1">
      <c r="B212" s="58" t="inlineStr">
        <is>
          <t>BOA CC</t>
        </is>
      </c>
      <c r="C212" s="58" t="inlineStr">
        <is>
          <t>07/04/2026</t>
        </is>
      </c>
      <c r="D212" s="58" t="inlineStr">
        <is>
          <t>Expense</t>
        </is>
      </c>
      <c r="E212" s="58" t="inlineStr"/>
      <c r="F212" s="58" t="inlineStr"/>
      <c r="G212" s="58" t="inlineStr">
        <is>
          <t>VERIZON*RECURRING PAY 800VERIZON FL</t>
        </is>
      </c>
      <c r="H212" s="58" t="inlineStr">
        <is>
          <t>Utilities:Phone service</t>
        </is>
      </c>
      <c r="I212" s="59" t="n">
        <v>89.98999999999999</v>
      </c>
      <c r="J212" s="59" t="n">
        <v>3117.32</v>
      </c>
      <c r="K212" s="60" t="inlineStr">
        <is>
          <t>MATCHED</t>
        </is>
      </c>
      <c r="L212" s="61" t="inlineStr">
        <is>
          <t>Matched to historical category: Utilities:Phone service</t>
        </is>
      </c>
    </row>
    <row r="213" ht="16" customHeight="1">
      <c r="B213" s="58" t="inlineStr">
        <is>
          <t>BOA CC</t>
        </is>
      </c>
      <c r="C213" s="58" t="inlineStr">
        <is>
          <t>07/07/2026</t>
        </is>
      </c>
      <c r="D213" s="58" t="inlineStr">
        <is>
          <t>Expense</t>
        </is>
      </c>
      <c r="E213" s="58" t="inlineStr"/>
      <c r="F213" s="58" t="inlineStr"/>
      <c r="G213" s="58" t="inlineStr">
        <is>
          <t>Microsoft*Microsoft 36 8006427676 WA</t>
        </is>
      </c>
      <c r="H213" s="58" t="inlineStr">
        <is>
          <t>Office expenses:Software &amp; apps</t>
        </is>
      </c>
      <c r="I213" s="59" t="n">
        <v>129.99</v>
      </c>
      <c r="J213" s="59" t="n">
        <v>3247.31</v>
      </c>
      <c r="K213" s="60" t="inlineStr">
        <is>
          <t>MATCHED</t>
        </is>
      </c>
      <c r="L213" s="61" t="inlineStr">
        <is>
          <t>Matched to historical category: Office expenses:Software &amp; apps</t>
        </is>
      </c>
    </row>
    <row r="214" ht="16" customHeight="1">
      <c r="B214" s="71" t="inlineStr">
        <is>
          <t>BOA CC</t>
        </is>
      </c>
      <c r="C214" s="71" t="inlineStr">
        <is>
          <t>07/09/2026</t>
        </is>
      </c>
      <c r="D214" s="71" t="inlineStr">
        <is>
          <t>Expense</t>
        </is>
      </c>
      <c r="E214" s="71" t="inlineStr"/>
      <c r="F214" s="71" t="inlineStr"/>
      <c r="G214" s="71" t="inlineStr">
        <is>
          <t>DD *DOORDASH MASALAREP 8559731040 CA</t>
        </is>
      </c>
      <c r="H214" s="71" t="inlineStr">
        <is>
          <t>Meals &amp; Entertainment:Entertainment</t>
        </is>
      </c>
      <c r="I214" s="72" t="n">
        <v>27.41</v>
      </c>
      <c r="J214" s="72" t="n">
        <v>3274.72</v>
      </c>
      <c r="K214" s="73" t="inlineStr">
        <is>
          <t>CATEGORY MISMATCH</t>
        </is>
      </c>
      <c r="L214" s="74" t="inlineStr">
        <is>
          <t>Expected 'Meals &amp; Entertainment:Meals with clients', found 'Meals &amp; Entertainment:Entertainment'.</t>
        </is>
      </c>
    </row>
    <row r="215" ht="16" customHeight="1">
      <c r="B215" s="71" t="inlineStr">
        <is>
          <t>BOA CC</t>
        </is>
      </c>
      <c r="C215" s="71" t="inlineStr">
        <is>
          <t>07/13/2026</t>
        </is>
      </c>
      <c r="D215" s="71" t="inlineStr">
        <is>
          <t>Expense</t>
        </is>
      </c>
      <c r="E215" s="71" t="inlineStr"/>
      <c r="F215" s="71" t="inlineStr"/>
      <c r="G215" s="71" t="inlineStr">
        <is>
          <t>OPENAI *CHATGPT SUBSCR 4158799686 CA</t>
        </is>
      </c>
      <c r="H215" s="71" t="inlineStr">
        <is>
          <t>Dues &amp; subscriptions</t>
        </is>
      </c>
      <c r="I215" s="72" t="n">
        <v>20</v>
      </c>
      <c r="J215" s="72" t="n">
        <v>3294.72</v>
      </c>
      <c r="K215" s="73" t="inlineStr">
        <is>
          <t>CATEGORY MISMATCH</t>
        </is>
      </c>
      <c r="L215" s="74" t="inlineStr">
        <is>
          <t>Expected 'Office expenses:Software &amp; apps', found 'Dues &amp; subscriptions'.</t>
        </is>
      </c>
    </row>
    <row r="216" ht="16" customHeight="1">
      <c r="B216" s="58" t="inlineStr">
        <is>
          <t>BOA CC</t>
        </is>
      </c>
      <c r="C216" s="58" t="inlineStr">
        <is>
          <t>07/14/2026</t>
        </is>
      </c>
      <c r="D216" s="58" t="inlineStr">
        <is>
          <t>Expense</t>
        </is>
      </c>
      <c r="E216" s="58" t="inlineStr"/>
      <c r="F216" s="58" t="inlineStr"/>
      <c r="G216" s="58" t="inlineStr">
        <is>
          <t>AMAZON PRIME*TT4297FR3 8882804331 WA</t>
        </is>
      </c>
      <c r="H216" s="58" t="inlineStr">
        <is>
          <t>Office expenses:Office supplies</t>
        </is>
      </c>
      <c r="I216" s="59" t="n">
        <v>7.58</v>
      </c>
      <c r="J216" s="59" t="n">
        <v>3302.3</v>
      </c>
      <c r="K216" s="60" t="inlineStr">
        <is>
          <t>MATCHED</t>
        </is>
      </c>
      <c r="L216" s="61" t="inlineStr">
        <is>
          <t>Matched to historical category: Office expenses:Office supplies</t>
        </is>
      </c>
    </row>
    <row r="217" ht="16" customHeight="1">
      <c r="B217" s="58" t="inlineStr">
        <is>
          <t>BOA CC</t>
        </is>
      </c>
      <c r="C217" s="58" t="inlineStr">
        <is>
          <t>07/15/2026</t>
        </is>
      </c>
      <c r="D217" s="58" t="inlineStr">
        <is>
          <t>Expense</t>
        </is>
      </c>
      <c r="E217" s="58" t="inlineStr"/>
      <c r="F217" s="58" t="inlineStr"/>
      <c r="G217" s="58" t="inlineStr">
        <is>
          <t>AMAZON DIGI* JU6R40EU3 SEATTLE WA</t>
        </is>
      </c>
      <c r="H217" s="58" t="inlineStr">
        <is>
          <t>Office expenses:Office supplies</t>
        </is>
      </c>
      <c r="I217" s="59" t="n">
        <v>5.66</v>
      </c>
      <c r="J217" s="59" t="n">
        <v>3307.96</v>
      </c>
      <c r="K217" s="60" t="inlineStr">
        <is>
          <t>MATCHED</t>
        </is>
      </c>
      <c r="L217" s="61" t="inlineStr">
        <is>
          <t>Matched to historical category: Office expenses:Office supplies</t>
        </is>
      </c>
    </row>
    <row r="218" ht="16" customHeight="1">
      <c r="B218" s="71" t="inlineStr">
        <is>
          <t>BOA CC</t>
        </is>
      </c>
      <c r="C218" s="71" t="inlineStr">
        <is>
          <t>07/17/2026</t>
        </is>
      </c>
      <c r="D218" s="71" t="inlineStr">
        <is>
          <t>Expense</t>
        </is>
      </c>
      <c r="E218" s="71" t="inlineStr"/>
      <c r="F218" s="71" t="inlineStr"/>
      <c r="G218" s="71" t="inlineStr">
        <is>
          <t>DD *DOORDASH ANGRYCHIC 8559731040 CA</t>
        </is>
      </c>
      <c r="H218" s="71" t="inlineStr">
        <is>
          <t>Meals &amp; Entertainment:Entertainment</t>
        </is>
      </c>
      <c r="I218" s="72" t="n">
        <v>26.1</v>
      </c>
      <c r="J218" s="72" t="n">
        <v>3334.06</v>
      </c>
      <c r="K218" s="73" t="inlineStr">
        <is>
          <t>CATEGORY MISMATCH</t>
        </is>
      </c>
      <c r="L218" s="74" t="inlineStr">
        <is>
          <t>Expected 'Meals &amp; Entertainment:Meals with clients', found 'Meals &amp; Entertainment:Entertainment'.</t>
        </is>
      </c>
    </row>
    <row r="219" ht="16" customHeight="1">
      <c r="B219" s="58" t="inlineStr">
        <is>
          <t>BOA CC</t>
        </is>
      </c>
      <c r="C219" s="58" t="inlineStr">
        <is>
          <t>07/19/2026</t>
        </is>
      </c>
      <c r="D219" s="58" t="inlineStr">
        <is>
          <t>Expense</t>
        </is>
      </c>
      <c r="E219" s="58" t="inlineStr"/>
      <c r="F219" s="58" t="inlineStr"/>
      <c r="G219" s="58" t="inlineStr">
        <is>
          <t>DOORDASH*07/18-2 ORDER 8559731040 CA</t>
        </is>
      </c>
      <c r="H219" s="58" t="inlineStr">
        <is>
          <t>Meals &amp; Entertainment:Meals with clients</t>
        </is>
      </c>
      <c r="I219" s="59" t="n">
        <v>90.44</v>
      </c>
      <c r="J219" s="59" t="n">
        <v>3424.5</v>
      </c>
      <c r="K219" s="60" t="inlineStr">
        <is>
          <t>MATCHED</t>
        </is>
      </c>
      <c r="L219" s="61" t="inlineStr">
        <is>
          <t>Matched to historical category: Meals &amp; Entertainment:Meals with clients</t>
        </is>
      </c>
    </row>
    <row r="220" ht="16" customHeight="1">
      <c r="B220" s="71" t="inlineStr">
        <is>
          <t>BOA CC</t>
        </is>
      </c>
      <c r="C220" s="71" t="inlineStr">
        <is>
          <t>07/20/2026</t>
        </is>
      </c>
      <c r="D220" s="71" t="inlineStr">
        <is>
          <t>Expense</t>
        </is>
      </c>
      <c r="E220" s="71" t="inlineStr"/>
      <c r="F220" s="71" t="inlineStr"/>
      <c r="G220" s="71" t="inlineStr">
        <is>
          <t>DD *DOORDASH NAGASKITC 8559731040 CA</t>
        </is>
      </c>
      <c r="H220" s="71" t="inlineStr">
        <is>
          <t>Meals &amp; Entertainment:Entertainment</t>
        </is>
      </c>
      <c r="I220" s="72" t="n">
        <v>31.21</v>
      </c>
      <c r="J220" s="72" t="n">
        <v>3455.71</v>
      </c>
      <c r="K220" s="73" t="inlineStr">
        <is>
          <t>CATEGORY MISMATCH</t>
        </is>
      </c>
      <c r="L220" s="74" t="inlineStr">
        <is>
          <t>Expected 'Meals &amp; Entertainment:Meals with clients', found 'Meals &amp; Entertainment:Entertainment'.</t>
        </is>
      </c>
    </row>
    <row r="221" ht="16" customHeight="1">
      <c r="B221" s="71" t="inlineStr">
        <is>
          <t>BOA CC</t>
        </is>
      </c>
      <c r="C221" s="71" t="inlineStr">
        <is>
          <t>07/23/2026</t>
        </is>
      </c>
      <c r="D221" s="71" t="inlineStr">
        <is>
          <t>Expense</t>
        </is>
      </c>
      <c r="E221" s="71" t="inlineStr"/>
      <c r="F221" s="71" t="inlineStr"/>
      <c r="G221" s="71" t="inlineStr">
        <is>
          <t>DD *DOORDASH ULAVACHAR 8559731040 CA</t>
        </is>
      </c>
      <c r="H221" s="71" t="inlineStr">
        <is>
          <t>Meals &amp; Entertainment:Entertainment</t>
        </is>
      </c>
      <c r="I221" s="72" t="n">
        <v>17.98</v>
      </c>
      <c r="J221" s="72" t="n">
        <v>3473.69</v>
      </c>
      <c r="K221" s="73" t="inlineStr">
        <is>
          <t>CATEGORY MISMATCH</t>
        </is>
      </c>
      <c r="L221" s="74" t="inlineStr">
        <is>
          <t>Expected 'Meals &amp; Entertainment:Meals with clients', found 'Meals &amp; Entertainment:Entertainment'.</t>
        </is>
      </c>
    </row>
    <row r="222" ht="16" customHeight="1">
      <c r="B222" s="62" t="inlineStr">
        <is>
          <t>BOA CC</t>
        </is>
      </c>
      <c r="C222" s="62" t="inlineStr">
        <is>
          <t>07/24/2026</t>
        </is>
      </c>
      <c r="D222" s="62" t="inlineStr">
        <is>
          <t>Credit Card Payment</t>
        </is>
      </c>
      <c r="E222" s="62" t="inlineStr"/>
      <c r="F222" s="62" t="inlineStr">
        <is>
          <t>BOA CC</t>
        </is>
      </c>
      <c r="G222" s="62" t="inlineStr">
        <is>
          <t>BANK OF AMERICA - CREDIT CARD Bill Payment</t>
        </is>
      </c>
      <c r="H222" s="62" t="inlineStr">
        <is>
          <t>Bank of America</t>
        </is>
      </c>
      <c r="I222" s="63" t="n">
        <v>-2965.7</v>
      </c>
      <c r="J222" s="63" t="n">
        <v>507.9900000000002</v>
      </c>
      <c r="K222" s="64" t="inlineStr">
        <is>
          <t>CC VENDOR UPDATED</t>
        </is>
      </c>
      <c r="L222" s="65" t="inlineStr">
        <is>
          <t>Vendor Name set to 'BOA CC'</t>
        </is>
      </c>
    </row>
    <row r="223" ht="16" customHeight="1">
      <c r="B223" s="58" t="inlineStr">
        <is>
          <t>BOA CC</t>
        </is>
      </c>
      <c r="C223" s="58" t="inlineStr">
        <is>
          <t>07/26/2026</t>
        </is>
      </c>
      <c r="D223" s="58" t="inlineStr">
        <is>
          <t>Expense</t>
        </is>
      </c>
      <c r="E223" s="58" t="inlineStr"/>
      <c r="F223" s="58" t="inlineStr"/>
      <c r="G223" s="58" t="inlineStr">
        <is>
          <t>CLUB 28 BADMINTON DELE 9176316713 DE</t>
        </is>
      </c>
      <c r="H223" s="58" t="inlineStr">
        <is>
          <t>Meals &amp; Entertainment:Meals with clients</t>
        </is>
      </c>
      <c r="I223" s="59" t="n">
        <v>140</v>
      </c>
      <c r="J223" s="59" t="n">
        <v>647.9900000000002</v>
      </c>
      <c r="K223" s="60" t="inlineStr">
        <is>
          <t>MATCHED</t>
        </is>
      </c>
      <c r="L223" s="61" t="inlineStr">
        <is>
          <t>Matched to historical category: Meals &amp; Entertainment:Meals with clients</t>
        </is>
      </c>
    </row>
    <row r="224" ht="16" customHeight="1">
      <c r="B224" s="71" t="inlineStr">
        <is>
          <t>BOA CC</t>
        </is>
      </c>
      <c r="C224" s="71" t="inlineStr">
        <is>
          <t>07/26/2026</t>
        </is>
      </c>
      <c r="D224" s="71" t="inlineStr">
        <is>
          <t>Expense</t>
        </is>
      </c>
      <c r="E224" s="71" t="inlineStr"/>
      <c r="F224" s="71" t="inlineStr"/>
      <c r="G224" s="71" t="inlineStr">
        <is>
          <t>DD *DOORDASH DECCANMOR 8559731040 CA</t>
        </is>
      </c>
      <c r="H224" s="71" t="inlineStr">
        <is>
          <t>Meals &amp; Entertainment:Entertainment</t>
        </is>
      </c>
      <c r="I224" s="72" t="n">
        <v>24.94</v>
      </c>
      <c r="J224" s="72" t="n">
        <v>672.9300000000003</v>
      </c>
      <c r="K224" s="73" t="inlineStr">
        <is>
          <t>CATEGORY MISMATCH</t>
        </is>
      </c>
      <c r="L224" s="74" t="inlineStr">
        <is>
          <t>Expected 'Meals &amp; Entertainment:Meals with clients', found 'Meals &amp; Entertainment:Entertainment'.</t>
        </is>
      </c>
    </row>
    <row r="225" ht="16" customHeight="1">
      <c r="B225" s="71" t="inlineStr">
        <is>
          <t>BOA CC</t>
        </is>
      </c>
      <c r="C225" s="71" t="inlineStr">
        <is>
          <t>07/29/2026</t>
        </is>
      </c>
      <c r="D225" s="71" t="inlineStr">
        <is>
          <t>Expense</t>
        </is>
      </c>
      <c r="E225" s="71" t="inlineStr"/>
      <c r="F225" s="71" t="inlineStr"/>
      <c r="G225" s="71" t="inlineStr">
        <is>
          <t>DD *DOORDASH DECCANMOR 8559731040 CA</t>
        </is>
      </c>
      <c r="H225" s="71" t="inlineStr">
        <is>
          <t>Meals &amp; Entertainment:Entertainment</t>
        </is>
      </c>
      <c r="I225" s="72" t="n">
        <v>18.5</v>
      </c>
      <c r="J225" s="72" t="n">
        <v>691.4300000000003</v>
      </c>
      <c r="K225" s="73" t="inlineStr">
        <is>
          <t>CATEGORY MISMATCH</t>
        </is>
      </c>
      <c r="L225" s="74" t="inlineStr">
        <is>
          <t>Expected 'Meals &amp; Entertainment:Meals with clients', found 'Meals &amp; Entertainment:Entertainment'.</t>
        </is>
      </c>
    </row>
    <row r="226" ht="16" customHeight="1">
      <c r="A226" s="37" t="inlineStr">
        <is>
          <t>Total for BOA CC</t>
        </is>
      </c>
      <c r="I226" s="70">
        <f>I205+I206+I207+I208+I209+I210+I211+I212+I213+I214+I215+I216+I217+I218+I219+I220+I221+I222+I223+I224+I225</f>
        <v/>
      </c>
    </row>
    <row r="227" ht="16" customHeight="1">
      <c r="A227" s="36" t="inlineStr">
        <is>
          <t>401K Payable</t>
        </is>
      </c>
    </row>
    <row r="228" ht="16" customHeight="1">
      <c r="B228" s="26" t="inlineStr">
        <is>
          <t>Beginning Balance</t>
        </is>
      </c>
      <c r="J228" s="57" t="n">
        <v>1029.24</v>
      </c>
    </row>
    <row r="229" ht="16" customHeight="1">
      <c r="B229" s="58" t="inlineStr">
        <is>
          <t>401K Payable</t>
        </is>
      </c>
      <c r="C229" s="58" t="inlineStr">
        <is>
          <t>07/01/2026</t>
        </is>
      </c>
      <c r="D229" s="58" t="inlineStr">
        <is>
          <t>Expense</t>
        </is>
      </c>
      <c r="E229" s="58" t="inlineStr"/>
      <c r="F229" s="58" t="inlineStr"/>
      <c r="G229" s="58" t="inlineStr">
        <is>
          <t>ADP 401k DES:ADP 401k ID:LE7RA 063012V02 INDN:VIRTUSSOLUTIONS LLC CO ID:1941711111 CCD</t>
        </is>
      </c>
      <c r="H229" s="58" t="inlineStr">
        <is>
          <t>Bank of America</t>
        </is>
      </c>
      <c r="I229" s="59" t="n">
        <v>-583.26</v>
      </c>
      <c r="J229" s="59" t="n">
        <v>445.98</v>
      </c>
      <c r="K229" s="60" t="inlineStr">
        <is>
          <t>MATCHED</t>
        </is>
      </c>
      <c r="L229" s="61" t="inlineStr">
        <is>
          <t>Matched to historical category: 401K Payable</t>
        </is>
      </c>
    </row>
    <row r="230" ht="16" customHeight="1">
      <c r="B230" s="58" t="inlineStr">
        <is>
          <t>401K Payable</t>
        </is>
      </c>
      <c r="C230" s="58" t="inlineStr">
        <is>
          <t>07/15/2026</t>
        </is>
      </c>
      <c r="D230" s="58" t="inlineStr">
        <is>
          <t>Journal Entry</t>
        </is>
      </c>
      <c r="E230" s="58" t="inlineStr"/>
      <c r="F230" s="58" t="inlineStr"/>
      <c r="G230" s="58" t="inlineStr"/>
      <c r="H230" s="58" t="inlineStr"/>
      <c r="I230" s="59" t="n">
        <v>433.74</v>
      </c>
      <c r="J230" s="59" t="n">
        <v>879.72</v>
      </c>
      <c r="K230" s="60" t="inlineStr">
        <is>
          <t>MATCHED</t>
        </is>
      </c>
      <c r="L230" s="61" t="inlineStr">
        <is>
          <t>Standard ledger entry</t>
        </is>
      </c>
    </row>
    <row r="231" ht="16" customHeight="1">
      <c r="B231" s="58" t="inlineStr">
        <is>
          <t>401K Payable</t>
        </is>
      </c>
      <c r="C231" s="58" t="inlineStr">
        <is>
          <t>07/16/2026</t>
        </is>
      </c>
      <c r="D231" s="58" t="inlineStr">
        <is>
          <t>Expense</t>
        </is>
      </c>
      <c r="E231" s="58" t="inlineStr"/>
      <c r="F231" s="58" t="inlineStr"/>
      <c r="G231" s="58" t="inlineStr">
        <is>
          <t>ADP 401k DES:ADP 401k ID:LE7RA 071513V02 INDN:VIRTUSSOLUTIONS LLC CO ID:1941711111 CCD</t>
        </is>
      </c>
      <c r="H231" s="58" t="inlineStr">
        <is>
          <t>Bank of America</t>
        </is>
      </c>
      <c r="I231" s="59" t="n">
        <v>-445.98</v>
      </c>
      <c r="J231" s="59" t="n">
        <v>433.74</v>
      </c>
      <c r="K231" s="60" t="inlineStr">
        <is>
          <t>MATCHED</t>
        </is>
      </c>
      <c r="L231" s="61" t="inlineStr">
        <is>
          <t>Matched to historical category: 401K Payable</t>
        </is>
      </c>
    </row>
    <row r="232" ht="16" customHeight="1">
      <c r="B232" s="58" t="inlineStr">
        <is>
          <t>401K Payable</t>
        </is>
      </c>
      <c r="C232" s="58" t="inlineStr">
        <is>
          <t>07/31/2026</t>
        </is>
      </c>
      <c r="D232" s="58" t="inlineStr">
        <is>
          <t>Journal Entry</t>
        </is>
      </c>
      <c r="E232" s="58" t="inlineStr"/>
      <c r="F232" s="58" t="inlineStr"/>
      <c r="G232" s="58" t="inlineStr"/>
      <c r="H232" s="58" t="inlineStr"/>
      <c r="I232" s="59" t="n">
        <v>458.22</v>
      </c>
      <c r="J232" s="59" t="n">
        <v>891.96</v>
      </c>
      <c r="K232" s="60" t="inlineStr">
        <is>
          <t>MATCHED</t>
        </is>
      </c>
      <c r="L232" s="61" t="inlineStr">
        <is>
          <t>Standard ledger entry</t>
        </is>
      </c>
    </row>
    <row r="233" ht="16" customHeight="1">
      <c r="A233" s="37" t="inlineStr">
        <is>
          <t>Total for 401K Payable</t>
        </is>
      </c>
      <c r="I233" s="70">
        <f>I228+I229+I230+I231+I232</f>
        <v/>
      </c>
    </row>
    <row r="234" ht="16" customHeight="1">
      <c r="A234" s="36" t="inlineStr">
        <is>
          <t>Payroll wages and tax to pay</t>
        </is>
      </c>
    </row>
    <row r="235" ht="16" customHeight="1">
      <c r="A235" s="37" t="inlineStr">
        <is>
          <t>Total for Payroll wages and tax to pay</t>
        </is>
      </c>
      <c r="I235" s="31" t="n"/>
    </row>
    <row r="236" ht="16" customHeight="1">
      <c r="A236" s="38" t="inlineStr">
        <is>
          <t>Payroll tax to pay</t>
        </is>
      </c>
    </row>
    <row r="237" ht="16" customHeight="1">
      <c r="B237" s="26" t="inlineStr">
        <is>
          <t>Beginning Balance</t>
        </is>
      </c>
      <c r="J237" s="57" t="n">
        <v>9485.18</v>
      </c>
    </row>
    <row r="238" ht="16" customHeight="1">
      <c r="B238" s="58" t="inlineStr">
        <is>
          <t>Payroll tax to pay</t>
        </is>
      </c>
      <c r="C238" s="58" t="inlineStr">
        <is>
          <t>07/14/2026</t>
        </is>
      </c>
      <c r="D238" s="58" t="inlineStr">
        <is>
          <t>Expense</t>
        </is>
      </c>
      <c r="E238" s="58" t="inlineStr"/>
      <c r="F238" s="58" t="inlineStr"/>
      <c r="G238" s="58" t="inlineStr">
        <is>
          <t>ADP Tax DES:ADP Tax ID:LE7RA 071513A01 INDN:VIRTUSSOLUTIONS LLC CO ID:1941711111 CCD</t>
        </is>
      </c>
      <c r="H238" s="58" t="inlineStr">
        <is>
          <t>Bank of America</t>
        </is>
      </c>
      <c r="I238" s="59" t="n">
        <v>-9485.18</v>
      </c>
      <c r="J238" s="75" t="n">
        <v>0</v>
      </c>
      <c r="K238" s="60" t="inlineStr">
        <is>
          <t>MATCHED</t>
        </is>
      </c>
      <c r="L238" s="61" t="inlineStr">
        <is>
          <t>Matched to historical category: Payroll wages and tax to pay:Payroll tax to pay</t>
        </is>
      </c>
    </row>
    <row r="239" ht="16" customHeight="1">
      <c r="B239" s="58" t="inlineStr">
        <is>
          <t>Payroll tax to pay</t>
        </is>
      </c>
      <c r="C239" s="58" t="inlineStr">
        <is>
          <t>07/15/2026</t>
        </is>
      </c>
      <c r="D239" s="58" t="inlineStr">
        <is>
          <t>Journal Entry</t>
        </is>
      </c>
      <c r="E239" s="58" t="inlineStr"/>
      <c r="F239" s="58" t="inlineStr"/>
      <c r="G239" s="58" t="inlineStr"/>
      <c r="H239" s="58" t="inlineStr"/>
      <c r="I239" s="59" t="n">
        <v>9285.969999999999</v>
      </c>
      <c r="J239" s="59" t="n">
        <v>9285.969999999999</v>
      </c>
      <c r="K239" s="60" t="inlineStr">
        <is>
          <t>MATCHED</t>
        </is>
      </c>
      <c r="L239" s="61" t="inlineStr">
        <is>
          <t>Standard ledger entry</t>
        </is>
      </c>
    </row>
    <row r="240" ht="16" customHeight="1">
      <c r="B240" s="58" t="inlineStr">
        <is>
          <t>Payroll tax to pay</t>
        </is>
      </c>
      <c r="C240" s="58" t="inlineStr">
        <is>
          <t>07/24/2026</t>
        </is>
      </c>
      <c r="D240" s="58" t="inlineStr">
        <is>
          <t>Expense</t>
        </is>
      </c>
      <c r="E240" s="58" t="inlineStr"/>
      <c r="F240" s="58" t="inlineStr"/>
      <c r="G240" s="58" t="inlineStr">
        <is>
          <t>ADP Tax DES:ADP Tax ID:LE7RA 072714A01 INDN:VIRTUSSOLUTIONS LLC CO ID:1941711111 CCD</t>
        </is>
      </c>
      <c r="H240" s="58" t="inlineStr">
        <is>
          <t>Bank of America</t>
        </is>
      </c>
      <c r="I240" s="59" t="n">
        <v>-638.8</v>
      </c>
      <c r="J240" s="59" t="n">
        <v>8647.17</v>
      </c>
      <c r="K240" s="60" t="inlineStr">
        <is>
          <t>MATCHED</t>
        </is>
      </c>
      <c r="L240" s="61" t="inlineStr">
        <is>
          <t>Matched to historical category: Payroll wages and tax to pay:Payroll tax to pay</t>
        </is>
      </c>
    </row>
    <row r="241" ht="16" customHeight="1">
      <c r="B241" s="58" t="inlineStr">
        <is>
          <t>Payroll tax to pay</t>
        </is>
      </c>
      <c r="C241" s="58" t="inlineStr">
        <is>
          <t>07/27/2026</t>
        </is>
      </c>
      <c r="D241" s="58" t="inlineStr">
        <is>
          <t>Journal Entry</t>
        </is>
      </c>
      <c r="E241" s="58" t="inlineStr">
        <is>
          <t>06/15-07/30</t>
        </is>
      </c>
      <c r="F241" s="58" t="inlineStr"/>
      <c r="G241" s="58" t="inlineStr"/>
      <c r="H241" s="58" t="inlineStr"/>
      <c r="I241" s="59" t="n">
        <v>638.8</v>
      </c>
      <c r="J241" s="59" t="n">
        <v>9285.969999999999</v>
      </c>
      <c r="K241" s="60" t="inlineStr">
        <is>
          <t>MATCHED</t>
        </is>
      </c>
      <c r="L241" s="61" t="inlineStr">
        <is>
          <t>Standard ledger entry</t>
        </is>
      </c>
    </row>
    <row r="242" ht="16" customHeight="1">
      <c r="B242" s="58" t="inlineStr">
        <is>
          <t>Payroll tax to pay</t>
        </is>
      </c>
      <c r="C242" s="58" t="inlineStr">
        <is>
          <t>07/30/2026</t>
        </is>
      </c>
      <c r="D242" s="58" t="inlineStr">
        <is>
          <t>Expense</t>
        </is>
      </c>
      <c r="E242" s="58" t="inlineStr"/>
      <c r="F242" s="58" t="inlineStr"/>
      <c r="G242" s="58" t="inlineStr">
        <is>
          <t>ADP Tax DES:ADP Tax ID:LE7RA 073114A01 INDN:VIRTUSSOLUTIONS LLC CO ID:1941711111 CCD</t>
        </is>
      </c>
      <c r="H242" s="58" t="inlineStr">
        <is>
          <t>Bank of America</t>
        </is>
      </c>
      <c r="I242" s="59" t="n">
        <v>-9285.969999999999</v>
      </c>
      <c r="J242" s="75" t="n">
        <v>0</v>
      </c>
      <c r="K242" s="60" t="inlineStr">
        <is>
          <t>MATCHED</t>
        </is>
      </c>
      <c r="L242" s="61" t="inlineStr">
        <is>
          <t>Matched to historical category: Payroll wages and tax to pay:Payroll tax to pay</t>
        </is>
      </c>
    </row>
    <row r="243" ht="16" customHeight="1">
      <c r="B243" s="58" t="inlineStr">
        <is>
          <t>Payroll tax to pay</t>
        </is>
      </c>
      <c r="C243" s="58" t="inlineStr">
        <is>
          <t>07/31/2026</t>
        </is>
      </c>
      <c r="D243" s="58" t="inlineStr">
        <is>
          <t>Journal Entry</t>
        </is>
      </c>
      <c r="E243" s="58" t="inlineStr"/>
      <c r="F243" s="58" t="inlineStr"/>
      <c r="G243" s="58" t="inlineStr"/>
      <c r="H243" s="58" t="inlineStr"/>
      <c r="I243" s="59" t="n">
        <v>10028.26</v>
      </c>
      <c r="J243" s="59" t="n">
        <v>10028.26</v>
      </c>
      <c r="K243" s="60" t="inlineStr">
        <is>
          <t>MATCHED</t>
        </is>
      </c>
      <c r="L243" s="61" t="inlineStr">
        <is>
          <t>Standard ledger entry</t>
        </is>
      </c>
    </row>
    <row r="244" ht="16" customHeight="1">
      <c r="A244" s="39" t="inlineStr">
        <is>
          <t>Total for Payroll tax to pay</t>
        </is>
      </c>
      <c r="I244" s="70">
        <f>I236+I237+I238+I239+I240+I241+I242+I243</f>
        <v/>
      </c>
    </row>
    <row r="245" ht="16" customHeight="1">
      <c r="A245" s="37" t="inlineStr">
        <is>
          <t>Total for Payroll wages and tax to pay with sub-accounts</t>
        </is>
      </c>
      <c r="I245" s="70">
        <f>I235+I244</f>
        <v/>
      </c>
    </row>
    <row r="246" ht="16" customHeight="1">
      <c r="A246" s="36" t="inlineStr">
        <is>
          <t>Payroll Wages Payable</t>
        </is>
      </c>
    </row>
    <row r="247" ht="16" customHeight="1">
      <c r="B247" s="26" t="inlineStr">
        <is>
          <t>Beginning Balance</t>
        </is>
      </c>
      <c r="J247" s="57" t="n">
        <v>26906.33</v>
      </c>
    </row>
    <row r="248" ht="16" customHeight="1">
      <c r="B248" s="58" t="inlineStr">
        <is>
          <t>Payroll Wages Payable</t>
        </is>
      </c>
      <c r="C248" s="58" t="inlineStr">
        <is>
          <t>07/14/2026</t>
        </is>
      </c>
      <c r="D248" s="58" t="inlineStr">
        <is>
          <t>Expense</t>
        </is>
      </c>
      <c r="E248" s="58" t="inlineStr"/>
      <c r="F248" s="58" t="inlineStr"/>
      <c r="G248" s="58" t="inlineStr">
        <is>
          <t>ADP WAGE PAY DES:WAGE PAY ID:9325421977907RA INDN:VIRTUSSOLUTIONS LLC VI CO ID:9333006057 CCD</t>
        </is>
      </c>
      <c r="H248" s="58" t="inlineStr">
        <is>
          <t>Bank of America</t>
        </is>
      </c>
      <c r="I248" s="59" t="n">
        <v>-26906.33</v>
      </c>
      <c r="J248" s="75" t="n">
        <v>0</v>
      </c>
      <c r="K248" s="60" t="inlineStr">
        <is>
          <t>MATCHED</t>
        </is>
      </c>
      <c r="L248" s="61" t="inlineStr">
        <is>
          <t>Standard ledger entry</t>
        </is>
      </c>
    </row>
    <row r="249" ht="16" customHeight="1">
      <c r="B249" s="58" t="inlineStr">
        <is>
          <t>Payroll Wages Payable</t>
        </is>
      </c>
      <c r="C249" s="58" t="inlineStr">
        <is>
          <t>07/15/2026</t>
        </is>
      </c>
      <c r="D249" s="58" t="inlineStr">
        <is>
          <t>Journal Entry</t>
        </is>
      </c>
      <c r="E249" s="58" t="inlineStr"/>
      <c r="F249" s="58" t="inlineStr"/>
      <c r="G249" s="58" t="inlineStr"/>
      <c r="H249" s="58" t="inlineStr"/>
      <c r="I249" s="59" t="n">
        <v>26342.04</v>
      </c>
      <c r="J249" s="59" t="n">
        <v>26342.04</v>
      </c>
      <c r="K249" s="60" t="inlineStr">
        <is>
          <t>MATCHED</t>
        </is>
      </c>
      <c r="L249" s="61" t="inlineStr">
        <is>
          <t>Standard ledger entry</t>
        </is>
      </c>
    </row>
    <row r="250" ht="16" customHeight="1">
      <c r="B250" s="58" t="inlineStr">
        <is>
          <t>Payroll Wages Payable</t>
        </is>
      </c>
      <c r="C250" s="58" t="inlineStr">
        <is>
          <t>07/24/2026</t>
        </is>
      </c>
      <c r="D250" s="58" t="inlineStr">
        <is>
          <t>Expense</t>
        </is>
      </c>
      <c r="E250" s="58" t="inlineStr"/>
      <c r="F250" s="58" t="inlineStr"/>
      <c r="G250" s="58" t="inlineStr">
        <is>
          <t>ADP WAGE PAY DES:WAGE PAY ID:5880767405547RA INDN:VIRTUSSOLUTIONS LLC VI CO ID:9333006057 CCD</t>
        </is>
      </c>
      <c r="H250" s="58" t="inlineStr">
        <is>
          <t>Bank of America</t>
        </is>
      </c>
      <c r="I250" s="59" t="n">
        <v>-3937.2</v>
      </c>
      <c r="J250" s="59" t="n">
        <v>22404.84</v>
      </c>
      <c r="K250" s="60" t="inlineStr">
        <is>
          <t>MATCHED</t>
        </is>
      </c>
      <c r="L250" s="61" t="inlineStr">
        <is>
          <t>Standard ledger entry</t>
        </is>
      </c>
    </row>
    <row r="251" ht="16" customHeight="1">
      <c r="B251" s="58" t="inlineStr">
        <is>
          <t>Payroll Wages Payable</t>
        </is>
      </c>
      <c r="C251" s="58" t="inlineStr">
        <is>
          <t>07/27/2026</t>
        </is>
      </c>
      <c r="D251" s="58" t="inlineStr">
        <is>
          <t>Journal Entry</t>
        </is>
      </c>
      <c r="E251" s="58" t="inlineStr">
        <is>
          <t>06/15-07/30</t>
        </is>
      </c>
      <c r="F251" s="58" t="inlineStr"/>
      <c r="G251" s="58" t="inlineStr"/>
      <c r="H251" s="58" t="inlineStr"/>
      <c r="I251" s="59" t="n">
        <v>3937.2</v>
      </c>
      <c r="J251" s="59" t="n">
        <v>26342.04</v>
      </c>
      <c r="K251" s="60" t="inlineStr">
        <is>
          <t>MATCHED</t>
        </is>
      </c>
      <c r="L251" s="61" t="inlineStr">
        <is>
          <t>Standard ledger entry</t>
        </is>
      </c>
    </row>
    <row r="252" ht="16" customHeight="1">
      <c r="B252" s="58" t="inlineStr">
        <is>
          <t>Payroll Wages Payable</t>
        </is>
      </c>
      <c r="C252" s="58" t="inlineStr">
        <is>
          <t>07/30/2026</t>
        </is>
      </c>
      <c r="D252" s="58" t="inlineStr">
        <is>
          <t>Expense</t>
        </is>
      </c>
      <c r="E252" s="58" t="inlineStr"/>
      <c r="F252" s="58" t="inlineStr"/>
      <c r="G252" s="58" t="inlineStr">
        <is>
          <t>ADP WAGE PAY DES:WAGE PAY ID:2900853777717RA INDN:VIRTUSSOLUTIONS LLC VI CO ID:9333006057 CCD</t>
        </is>
      </c>
      <c r="H252" s="58" t="inlineStr">
        <is>
          <t>Bank of America</t>
        </is>
      </c>
      <c r="I252" s="59" t="n">
        <v>-26342.04</v>
      </c>
      <c r="J252" s="75" t="n">
        <v>0</v>
      </c>
      <c r="K252" s="60" t="inlineStr">
        <is>
          <t>MATCHED</t>
        </is>
      </c>
      <c r="L252" s="61" t="inlineStr">
        <is>
          <t>Standard ledger entry</t>
        </is>
      </c>
    </row>
    <row r="253" ht="16" customHeight="1">
      <c r="B253" s="58" t="inlineStr">
        <is>
          <t>Payroll Wages Payable</t>
        </is>
      </c>
      <c r="C253" s="58" t="inlineStr">
        <is>
          <t>07/31/2026</t>
        </is>
      </c>
      <c r="D253" s="58" t="inlineStr">
        <is>
          <t>Journal Entry</t>
        </is>
      </c>
      <c r="E253" s="58" t="inlineStr"/>
      <c r="F253" s="58" t="inlineStr"/>
      <c r="G253" s="58" t="inlineStr"/>
      <c r="H253" s="58" t="inlineStr"/>
      <c r="I253" s="59" t="n">
        <v>27914.08</v>
      </c>
      <c r="J253" s="59" t="n">
        <v>27914.08</v>
      </c>
      <c r="K253" s="60" t="inlineStr">
        <is>
          <t>MATCHED</t>
        </is>
      </c>
      <c r="L253" s="61" t="inlineStr">
        <is>
          <t>Standard ledger entry</t>
        </is>
      </c>
    </row>
    <row r="254" ht="16" customHeight="1">
      <c r="A254" s="37" t="inlineStr">
        <is>
          <t>Total for Payroll Wages Payable</t>
        </is>
      </c>
      <c r="I254" s="70">
        <f>I247+I248+I249+I250+I251+I252+I253</f>
        <v/>
      </c>
    </row>
    <row r="255" ht="16" customHeight="1">
      <c r="A255" s="36" t="inlineStr">
        <is>
          <t>Loans from Share Holders a/c</t>
        </is>
      </c>
    </row>
    <row r="256" ht="16" customHeight="1">
      <c r="B256" s="26" t="inlineStr">
        <is>
          <t>Beginning Balance</t>
        </is>
      </c>
      <c r="J256" s="57" t="n">
        <v>29185.24</v>
      </c>
    </row>
    <row r="257" ht="16" customHeight="1">
      <c r="A257" s="37" t="inlineStr">
        <is>
          <t>Total for Loans from Share Holders a/c</t>
        </is>
      </c>
      <c r="I257" s="70">
        <f>I256</f>
        <v/>
      </c>
    </row>
    <row r="258" ht="16" customHeight="1">
      <c r="A258" s="36" t="inlineStr">
        <is>
          <t>Owners Distribution</t>
        </is>
      </c>
    </row>
    <row r="259" ht="16" customHeight="1">
      <c r="B259" s="26" t="inlineStr">
        <is>
          <t>Beginning Balance</t>
        </is>
      </c>
      <c r="J259" s="57" t="n">
        <v>-62533.41</v>
      </c>
    </row>
    <row r="260" ht="16" customHeight="1">
      <c r="B260" s="58" t="inlineStr">
        <is>
          <t>Owners Distribution</t>
        </is>
      </c>
      <c r="C260" s="58" t="inlineStr">
        <is>
          <t>07/17/2026</t>
        </is>
      </c>
      <c r="D260" s="58" t="inlineStr">
        <is>
          <t>Expense</t>
        </is>
      </c>
      <c r="E260" s="58" t="inlineStr"/>
      <c r="F260" s="58" t="inlineStr"/>
      <c r="G260" s="58" t="inlineStr">
        <is>
          <t>SYNERGY BADMINTON ACMENLO PARK          CA</t>
        </is>
      </c>
      <c r="H260" s="58" t="inlineStr">
        <is>
          <t>Amex CC</t>
        </is>
      </c>
      <c r="I260" s="59" t="n">
        <v>-5</v>
      </c>
      <c r="J260" s="59" t="n">
        <v>-62538.41</v>
      </c>
      <c r="K260" s="60" t="inlineStr">
        <is>
          <t>MATCHED</t>
        </is>
      </c>
      <c r="L260" s="61" t="inlineStr">
        <is>
          <t>Matched to historical category: Owners Distribution</t>
        </is>
      </c>
    </row>
    <row r="261" ht="16" customHeight="1">
      <c r="B261" s="58" t="inlineStr">
        <is>
          <t>Owners Distribution</t>
        </is>
      </c>
      <c r="C261" s="58" t="inlineStr">
        <is>
          <t>07/17/2026</t>
        </is>
      </c>
      <c r="D261" s="58" t="inlineStr">
        <is>
          <t>Expense</t>
        </is>
      </c>
      <c r="E261" s="58" t="inlineStr"/>
      <c r="F261" s="58" t="inlineStr"/>
      <c r="G261" s="58" t="inlineStr">
        <is>
          <t>SYNERGY BADMINTON ACMENLO PARK          CA</t>
        </is>
      </c>
      <c r="H261" s="58" t="inlineStr">
        <is>
          <t>Amex CC</t>
        </is>
      </c>
      <c r="I261" s="59" t="n">
        <v>-5</v>
      </c>
      <c r="J261" s="59" t="n">
        <v>-62543.41</v>
      </c>
      <c r="K261" s="60" t="inlineStr">
        <is>
          <t>MATCHED</t>
        </is>
      </c>
      <c r="L261" s="61" t="inlineStr">
        <is>
          <t>Matched to historical category: Owners Distribution</t>
        </is>
      </c>
    </row>
    <row r="262" ht="16" customHeight="1">
      <c r="B262" s="58" t="inlineStr">
        <is>
          <t>Owners Distribution</t>
        </is>
      </c>
      <c r="C262" s="58" t="inlineStr">
        <is>
          <t>07/17/2026</t>
        </is>
      </c>
      <c r="D262" s="58" t="inlineStr">
        <is>
          <t>Expense</t>
        </is>
      </c>
      <c r="E262" s="58" t="inlineStr"/>
      <c r="F262" s="58" t="inlineStr"/>
      <c r="G262" s="58" t="inlineStr">
        <is>
          <t>SYNERGY BADMINTON ACMENLO PARK          CA</t>
        </is>
      </c>
      <c r="H262" s="58" t="inlineStr">
        <is>
          <t>Amex CC</t>
        </is>
      </c>
      <c r="I262" s="59" t="n">
        <v>-22.5</v>
      </c>
      <c r="J262" s="59" t="n">
        <v>-62565.91</v>
      </c>
      <c r="K262" s="60" t="inlineStr">
        <is>
          <t>MATCHED</t>
        </is>
      </c>
      <c r="L262" s="61" t="inlineStr">
        <is>
          <t>Matched to historical category: Owners Distribution</t>
        </is>
      </c>
    </row>
    <row r="263" ht="16" customHeight="1">
      <c r="B263" s="58" t="inlineStr">
        <is>
          <t>Owners Distribution</t>
        </is>
      </c>
      <c r="C263" s="58" t="inlineStr">
        <is>
          <t>07/17/2026</t>
        </is>
      </c>
      <c r="D263" s="58" t="inlineStr">
        <is>
          <t>Expense</t>
        </is>
      </c>
      <c r="E263" s="58" t="inlineStr"/>
      <c r="F263" s="58" t="inlineStr"/>
      <c r="G263" s="58" t="inlineStr">
        <is>
          <t>SYNERGY BADMINTON ACMENLO PARK          CA</t>
        </is>
      </c>
      <c r="H263" s="58" t="inlineStr">
        <is>
          <t>Amex CC</t>
        </is>
      </c>
      <c r="I263" s="59" t="n">
        <v>-67.5</v>
      </c>
      <c r="J263" s="59" t="n">
        <v>-62633.41</v>
      </c>
      <c r="K263" s="60" t="inlineStr">
        <is>
          <t>MATCHED</t>
        </is>
      </c>
      <c r="L263" s="61" t="inlineStr">
        <is>
          <t>Matched to historical category: Owners Distribution</t>
        </is>
      </c>
    </row>
    <row r="264" ht="16" customHeight="1">
      <c r="B264" s="58" t="inlineStr">
        <is>
          <t>Owners Distribution</t>
        </is>
      </c>
      <c r="C264" s="58" t="inlineStr">
        <is>
          <t>07/19/2026</t>
        </is>
      </c>
      <c r="D264" s="58" t="inlineStr">
        <is>
          <t>Expense</t>
        </is>
      </c>
      <c r="E264" s="58" t="inlineStr"/>
      <c r="F264" s="58" t="inlineStr"/>
      <c r="G264" s="58" t="inlineStr">
        <is>
          <t>FREEWHEEL BREWING COFremont             CA</t>
        </is>
      </c>
      <c r="H264" s="58" t="inlineStr">
        <is>
          <t>Amex CC</t>
        </is>
      </c>
      <c r="I264" s="59" t="n">
        <v>-67.64</v>
      </c>
      <c r="J264" s="59" t="n">
        <v>-62701.05</v>
      </c>
      <c r="K264" s="60" t="inlineStr">
        <is>
          <t>MATCHED</t>
        </is>
      </c>
      <c r="L264" s="61" t="inlineStr">
        <is>
          <t>Matched to historical category: Owners Distribution</t>
        </is>
      </c>
    </row>
    <row r="265" ht="16" customHeight="1">
      <c r="A265" s="37" t="inlineStr">
        <is>
          <t>Total for Owners Distribution</t>
        </is>
      </c>
      <c r="I265" s="70">
        <f>I259+I260+I261+I262+I263+I264</f>
        <v/>
      </c>
    </row>
    <row r="266" ht="16" customHeight="1">
      <c r="A266" s="36" t="inlineStr">
        <is>
          <t>Retained Earnings</t>
        </is>
      </c>
    </row>
    <row r="267" ht="16" customHeight="1">
      <c r="B267" s="26" t="inlineStr">
        <is>
          <t>Beginning Balance</t>
        </is>
      </c>
      <c r="J267" s="57" t="n">
        <v>180276.9200000013</v>
      </c>
    </row>
    <row r="268" ht="16" customHeight="1">
      <c r="A268" s="37" t="inlineStr">
        <is>
          <t>Total for Retained Earnings</t>
        </is>
      </c>
      <c r="I268" s="70">
        <f>I267</f>
        <v/>
      </c>
    </row>
    <row r="269" ht="16" customHeight="1">
      <c r="A269" s="36" t="inlineStr">
        <is>
          <t>Shareholders' equity</t>
        </is>
      </c>
    </row>
    <row r="270" ht="16" customHeight="1">
      <c r="A270" s="38" t="inlineStr">
        <is>
          <t>Distributions</t>
        </is>
      </c>
    </row>
    <row r="271" ht="16" customHeight="1">
      <c r="B271" s="26" t="inlineStr">
        <is>
          <t>Beginning Balance</t>
        </is>
      </c>
      <c r="J271" s="57" t="n">
        <v>-455.89</v>
      </c>
    </row>
    <row r="272" ht="16" customHeight="1">
      <c r="B272" s="58" t="inlineStr">
        <is>
          <t>Distributions</t>
        </is>
      </c>
      <c r="C272" s="58" t="inlineStr">
        <is>
          <t>07/02/2026</t>
        </is>
      </c>
      <c r="D272" s="58" t="inlineStr">
        <is>
          <t>Expense</t>
        </is>
      </c>
      <c r="E272" s="58" t="inlineStr"/>
      <c r="F272" s="58" t="inlineStr"/>
      <c r="G272" s="58" t="inlineStr">
        <is>
          <t>ACTIVATE PLANO*ACTIVPLANO               TX</t>
        </is>
      </c>
      <c r="H272" s="58" t="inlineStr">
        <is>
          <t>Amex CC</t>
        </is>
      </c>
      <c r="I272" s="59" t="n">
        <v>-116.87</v>
      </c>
      <c r="J272" s="59" t="n">
        <v>-572.76</v>
      </c>
      <c r="K272" s="60" t="inlineStr">
        <is>
          <t>MATCHED</t>
        </is>
      </c>
      <c r="L272" s="61" t="inlineStr">
        <is>
          <t>Matched to historical category: Shareholders' equity:Distributions</t>
        </is>
      </c>
    </row>
    <row r="273" ht="16" customHeight="1">
      <c r="A273" s="39" t="inlineStr">
        <is>
          <t>Total for Distributions</t>
        </is>
      </c>
      <c r="I273" s="70">
        <f>I270+I271+I272</f>
        <v/>
      </c>
    </row>
    <row r="274" ht="16" customHeight="1">
      <c r="A274" s="37" t="inlineStr">
        <is>
          <t>Total for Shareholders' equity with sub-accounts</t>
        </is>
      </c>
      <c r="I274" s="70">
        <f>I273</f>
        <v/>
      </c>
    </row>
    <row r="275" ht="16" customHeight="1">
      <c r="A275" s="36" t="inlineStr">
        <is>
          <t>Services</t>
        </is>
      </c>
    </row>
    <row r="276" ht="16" customHeight="1">
      <c r="B276" s="26" t="inlineStr">
        <is>
          <t>Beginning Balance</t>
        </is>
      </c>
      <c r="J276" s="57" t="n">
        <v>1063791.51</v>
      </c>
    </row>
    <row r="277" ht="16" customHeight="1">
      <c r="B277" s="71" t="inlineStr">
        <is>
          <t>Services</t>
        </is>
      </c>
      <c r="C277" s="71" t="inlineStr">
        <is>
          <t>07/06/2026</t>
        </is>
      </c>
      <c r="D277" s="71" t="inlineStr">
        <is>
          <t>Invoice</t>
        </is>
      </c>
      <c r="E277" s="71" t="inlineStr">
        <is>
          <t>1546</t>
        </is>
      </c>
      <c r="F277" s="71" t="inlineStr">
        <is>
          <t>Medix Staffing Solutions, LLC,</t>
        </is>
      </c>
      <c r="G277" s="71" t="inlineStr">
        <is>
          <t>Back-End Power BI Developer - 07/01/26 - 07/05/26</t>
        </is>
      </c>
      <c r="H277" s="71" t="inlineStr">
        <is>
          <t>Accounts Receivable (A/R)</t>
        </is>
      </c>
      <c r="I277" s="72" t="n">
        <v>1336</v>
      </c>
      <c r="J277" s="72" t="n">
        <v>1065127.51</v>
      </c>
      <c r="K277" s="73" t="inlineStr">
        <is>
          <t>CATEGORY MISMATCH</t>
        </is>
      </c>
      <c r="L277" s="74" t="inlineStr">
        <is>
          <t>Expected 'Accounts Receivable (A/R)', found 'Services'.</t>
        </is>
      </c>
    </row>
    <row r="278" ht="16" customHeight="1">
      <c r="B278" s="71" t="inlineStr">
        <is>
          <t>Services</t>
        </is>
      </c>
      <c r="C278" s="71" t="inlineStr">
        <is>
          <t>07/06/2026</t>
        </is>
      </c>
      <c r="D278" s="71" t="inlineStr">
        <is>
          <t>Invoice</t>
        </is>
      </c>
      <c r="E278" s="71" t="inlineStr">
        <is>
          <t>1546</t>
        </is>
      </c>
      <c r="F278" s="71" t="inlineStr">
        <is>
          <t>Medix Staffing Solutions, LLC,</t>
        </is>
      </c>
      <c r="G278" s="71" t="inlineStr">
        <is>
          <t>Back-End Power BI Developer - 07/06/26 - 07/12/26</t>
        </is>
      </c>
      <c r="H278" s="71" t="inlineStr">
        <is>
          <t>Accounts Receivable (A/R)</t>
        </is>
      </c>
      <c r="I278" s="72" t="n">
        <v>3340</v>
      </c>
      <c r="J278" s="72" t="n">
        <v>1068467.51</v>
      </c>
      <c r="K278" s="73" t="inlineStr">
        <is>
          <t>CATEGORY MISMATCH</t>
        </is>
      </c>
      <c r="L278" s="74" t="inlineStr">
        <is>
          <t>Expected 'Accounts Receivable (A/R)', found 'Services'.</t>
        </is>
      </c>
    </row>
    <row r="279" ht="16" customHeight="1">
      <c r="B279" s="71" t="inlineStr">
        <is>
          <t>Services</t>
        </is>
      </c>
      <c r="C279" s="71" t="inlineStr">
        <is>
          <t>07/20/2026</t>
        </is>
      </c>
      <c r="D279" s="71" t="inlineStr">
        <is>
          <t>Invoice</t>
        </is>
      </c>
      <c r="E279" s="71" t="inlineStr">
        <is>
          <t>1555</t>
        </is>
      </c>
      <c r="F279" s="71" t="inlineStr">
        <is>
          <t>Medix Staffing Solutions, LLC,</t>
        </is>
      </c>
      <c r="G279" s="71" t="inlineStr">
        <is>
          <t>Back-End Power BI Developer - 07/13/26 - 07/19/26</t>
        </is>
      </c>
      <c r="H279" s="71" t="inlineStr">
        <is>
          <t>Accounts Receivable (A/R)</t>
        </is>
      </c>
      <c r="I279" s="72" t="n">
        <v>3340</v>
      </c>
      <c r="J279" s="72" t="n">
        <v>1071807.51</v>
      </c>
      <c r="K279" s="73" t="inlineStr">
        <is>
          <t>CATEGORY MISMATCH</t>
        </is>
      </c>
      <c r="L279" s="74" t="inlineStr">
        <is>
          <t>Expected 'Accounts Receivable (A/R)', found 'Services'.</t>
        </is>
      </c>
    </row>
    <row r="280" ht="16" customHeight="1">
      <c r="B280" s="71" t="inlineStr">
        <is>
          <t>Services</t>
        </is>
      </c>
      <c r="C280" s="71" t="inlineStr">
        <is>
          <t>07/20/2026</t>
        </is>
      </c>
      <c r="D280" s="71" t="inlineStr">
        <is>
          <t>Invoice</t>
        </is>
      </c>
      <c r="E280" s="71" t="inlineStr">
        <is>
          <t>1555</t>
        </is>
      </c>
      <c r="F280" s="71" t="inlineStr">
        <is>
          <t>Medix Staffing Solutions, LLC,</t>
        </is>
      </c>
      <c r="G280" s="71" t="inlineStr">
        <is>
          <t>Back-End Power BI Developer - 07/19/26 - 07/25/26</t>
        </is>
      </c>
      <c r="H280" s="71" t="inlineStr">
        <is>
          <t>Accounts Receivable (A/R)</t>
        </is>
      </c>
      <c r="I280" s="72" t="n">
        <v>3340</v>
      </c>
      <c r="J280" s="72" t="n">
        <v>1075147.51</v>
      </c>
      <c r="K280" s="73" t="inlineStr">
        <is>
          <t>CATEGORY MISMATCH</t>
        </is>
      </c>
      <c r="L280" s="74" t="inlineStr">
        <is>
          <t>Expected 'Accounts Receivable (A/R)', found 'Services'.</t>
        </is>
      </c>
    </row>
    <row r="281" ht="16" customHeight="1">
      <c r="B281" s="71" t="inlineStr">
        <is>
          <t>Services</t>
        </is>
      </c>
      <c r="C281" s="71" t="inlineStr">
        <is>
          <t>07/20/2026</t>
        </is>
      </c>
      <c r="D281" s="71" t="inlineStr">
        <is>
          <t>Invoice</t>
        </is>
      </c>
      <c r="E281" s="71" t="inlineStr">
        <is>
          <t>1555</t>
        </is>
      </c>
      <c r="F281" s="71" t="inlineStr">
        <is>
          <t>Medix Staffing Solutions, LLC,</t>
        </is>
      </c>
      <c r="G281" s="71" t="inlineStr">
        <is>
          <t>Back-End Power BI Developer - 07/26/26 - 07/31/26</t>
        </is>
      </c>
      <c r="H281" s="71" t="inlineStr">
        <is>
          <t>Accounts Receivable (A/R)</t>
        </is>
      </c>
      <c r="I281" s="72" t="n">
        <v>3340</v>
      </c>
      <c r="J281" s="72" t="n">
        <v>1078487.51</v>
      </c>
      <c r="K281" s="73" t="inlineStr">
        <is>
          <t>CATEGORY MISMATCH</t>
        </is>
      </c>
      <c r="L281" s="74" t="inlineStr">
        <is>
          <t>Expected 'Accounts Receivable (A/R)', found 'Services'.</t>
        </is>
      </c>
    </row>
    <row r="282" ht="16" customHeight="1">
      <c r="B282" s="71" t="inlineStr">
        <is>
          <t>Services</t>
        </is>
      </c>
      <c r="C282" s="71" t="inlineStr">
        <is>
          <t>07/31/2026</t>
        </is>
      </c>
      <c r="D282" s="71" t="inlineStr">
        <is>
          <t>Invoice</t>
        </is>
      </c>
      <c r="E282" s="71" t="inlineStr">
        <is>
          <t>1538</t>
        </is>
      </c>
      <c r="F282" s="71" t="inlineStr">
        <is>
          <t>Phoenix Staff Inc</t>
        </is>
      </c>
      <c r="G282" s="71" t="inlineStr">
        <is>
          <t>07/01/26 - 07/05/26</t>
        </is>
      </c>
      <c r="H282" s="71" t="inlineStr">
        <is>
          <t>Accounts Receivable (A/R)</t>
        </is>
      </c>
      <c r="I282" s="72" t="n">
        <v>1104</v>
      </c>
      <c r="J282" s="72" t="n">
        <v>1079591.51</v>
      </c>
      <c r="K282" s="73" t="inlineStr">
        <is>
          <t>CATEGORY MISMATCH</t>
        </is>
      </c>
      <c r="L282" s="74" t="inlineStr">
        <is>
          <t>Expected 'Accounts Receivable (A/R)', found 'Services'.</t>
        </is>
      </c>
    </row>
    <row r="283" ht="16" customHeight="1">
      <c r="B283" s="71" t="inlineStr">
        <is>
          <t>Services</t>
        </is>
      </c>
      <c r="C283" s="71" t="inlineStr">
        <is>
          <t>07/31/2026</t>
        </is>
      </c>
      <c r="D283" s="71" t="inlineStr">
        <is>
          <t>Invoice</t>
        </is>
      </c>
      <c r="E283" s="71" t="inlineStr">
        <is>
          <t>1538</t>
        </is>
      </c>
      <c r="F283" s="71" t="inlineStr">
        <is>
          <t>Phoenix Staff Inc</t>
        </is>
      </c>
      <c r="G283" s="71" t="inlineStr">
        <is>
          <t>07/06/26 - 07/12/26</t>
        </is>
      </c>
      <c r="H283" s="71" t="inlineStr">
        <is>
          <t>Accounts Receivable (A/R)</t>
        </is>
      </c>
      <c r="I283" s="72" t="n">
        <v>2760</v>
      </c>
      <c r="J283" s="72" t="n">
        <v>1082351.51</v>
      </c>
      <c r="K283" s="73" t="inlineStr">
        <is>
          <t>CATEGORY MISMATCH</t>
        </is>
      </c>
      <c r="L283" s="74" t="inlineStr">
        <is>
          <t>Expected 'Accounts Receivable (A/R)', found 'Services'.</t>
        </is>
      </c>
    </row>
    <row r="284" ht="16" customHeight="1">
      <c r="B284" s="71" t="inlineStr">
        <is>
          <t>Services</t>
        </is>
      </c>
      <c r="C284" s="71" t="inlineStr">
        <is>
          <t>07/31/2026</t>
        </is>
      </c>
      <c r="D284" s="71" t="inlineStr">
        <is>
          <t>Invoice</t>
        </is>
      </c>
      <c r="E284" s="71" t="inlineStr">
        <is>
          <t>1538</t>
        </is>
      </c>
      <c r="F284" s="71" t="inlineStr">
        <is>
          <t>Phoenix Staff Inc</t>
        </is>
      </c>
      <c r="G284" s="71" t="inlineStr">
        <is>
          <t>07/13/26 - 07/19/26</t>
        </is>
      </c>
      <c r="H284" s="71" t="inlineStr">
        <is>
          <t>Accounts Receivable (A/R)</t>
        </is>
      </c>
      <c r="I284" s="72" t="n">
        <v>2760</v>
      </c>
      <c r="J284" s="72" t="n">
        <v>1085111.51</v>
      </c>
      <c r="K284" s="73" t="inlineStr">
        <is>
          <t>CATEGORY MISMATCH</t>
        </is>
      </c>
      <c r="L284" s="74" t="inlineStr">
        <is>
          <t>Expected 'Accounts Receivable (A/R)', found 'Services'.</t>
        </is>
      </c>
    </row>
    <row r="285" ht="16" customHeight="1">
      <c r="B285" s="71" t="inlineStr">
        <is>
          <t>Services</t>
        </is>
      </c>
      <c r="C285" s="71" t="inlineStr">
        <is>
          <t>07/31/2026</t>
        </is>
      </c>
      <c r="D285" s="71" t="inlineStr">
        <is>
          <t>Invoice</t>
        </is>
      </c>
      <c r="E285" s="71" t="inlineStr">
        <is>
          <t>1538</t>
        </is>
      </c>
      <c r="F285" s="71" t="inlineStr">
        <is>
          <t>Phoenix Staff Inc</t>
        </is>
      </c>
      <c r="G285" s="71" t="inlineStr">
        <is>
          <t>07/20/26 - 07/26/26</t>
        </is>
      </c>
      <c r="H285" s="71" t="inlineStr">
        <is>
          <t>Accounts Receivable (A/R)</t>
        </is>
      </c>
      <c r="I285" s="72" t="n">
        <v>2600</v>
      </c>
      <c r="J285" s="72" t="n">
        <v>1087711.51</v>
      </c>
      <c r="K285" s="73" t="inlineStr">
        <is>
          <t>CATEGORY MISMATCH</t>
        </is>
      </c>
      <c r="L285" s="74" t="inlineStr">
        <is>
          <t>Expected 'Accounts Receivable (A/R)', found 'Services'.</t>
        </is>
      </c>
    </row>
    <row r="286" ht="16" customHeight="1">
      <c r="B286" s="71" t="inlineStr">
        <is>
          <t>Services</t>
        </is>
      </c>
      <c r="C286" s="71" t="inlineStr">
        <is>
          <t>07/31/2026</t>
        </is>
      </c>
      <c r="D286" s="71" t="inlineStr">
        <is>
          <t>Invoice</t>
        </is>
      </c>
      <c r="E286" s="71" t="inlineStr">
        <is>
          <t>1538</t>
        </is>
      </c>
      <c r="F286" s="71" t="inlineStr">
        <is>
          <t>Phoenix Staff Inc</t>
        </is>
      </c>
      <c r="G286" s="71" t="inlineStr">
        <is>
          <t>07/27/26 - 07/31/26</t>
        </is>
      </c>
      <c r="H286" s="71" t="inlineStr">
        <is>
          <t>Accounts Receivable (A/R)</t>
        </is>
      </c>
      <c r="I286" s="72" t="n">
        <v>2600</v>
      </c>
      <c r="J286" s="72" t="n">
        <v>1090311.51</v>
      </c>
      <c r="K286" s="73" t="inlineStr">
        <is>
          <t>CATEGORY MISMATCH</t>
        </is>
      </c>
      <c r="L286" s="74" t="inlineStr">
        <is>
          <t>Expected 'Accounts Receivable (A/R)', found 'Services'.</t>
        </is>
      </c>
    </row>
    <row r="287" ht="16" customHeight="1">
      <c r="B287" s="71" t="inlineStr">
        <is>
          <t>Services</t>
        </is>
      </c>
      <c r="C287" s="71" t="inlineStr">
        <is>
          <t>07/31/2026</t>
        </is>
      </c>
      <c r="D287" s="71" t="inlineStr">
        <is>
          <t>Invoice</t>
        </is>
      </c>
      <c r="E287" s="71" t="inlineStr">
        <is>
          <t>1600</t>
        </is>
      </c>
      <c r="F287" s="71" t="inlineStr">
        <is>
          <t>SANA Software Solutions</t>
        </is>
      </c>
      <c r="G287" s="71" t="inlineStr">
        <is>
          <t>Nithya Tejasvini Baddam - July 2026</t>
        </is>
      </c>
      <c r="H287" s="71" t="inlineStr">
        <is>
          <t>Accounts Receivable (A/R)</t>
        </is>
      </c>
      <c r="I287" s="72" t="n">
        <v>11440</v>
      </c>
      <c r="J287" s="72" t="n">
        <v>1101751.51</v>
      </c>
      <c r="K287" s="73" t="inlineStr">
        <is>
          <t>CATEGORY MISMATCH</t>
        </is>
      </c>
      <c r="L287" s="74" t="inlineStr">
        <is>
          <t>Expected 'Accounts Receivable (A/R)', found 'Services'.</t>
        </is>
      </c>
    </row>
    <row r="288" ht="16" customHeight="1">
      <c r="B288" s="71" t="inlineStr">
        <is>
          <t>Services</t>
        </is>
      </c>
      <c r="C288" s="71" t="inlineStr">
        <is>
          <t>07/31/2026</t>
        </is>
      </c>
      <c r="D288" s="71" t="inlineStr">
        <is>
          <t>Invoice</t>
        </is>
      </c>
      <c r="E288" s="71" t="inlineStr">
        <is>
          <t>1601</t>
        </is>
      </c>
      <c r="F288" s="71" t="inlineStr">
        <is>
          <t>Nityo Infotech Corporation</t>
        </is>
      </c>
      <c r="G288" s="71" t="inlineStr">
        <is>
          <t>07/01/26 - 07/31/26</t>
        </is>
      </c>
      <c r="H288" s="71" t="inlineStr">
        <is>
          <t>Accounts Receivable (A/R)</t>
        </is>
      </c>
      <c r="I288" s="72" t="n">
        <v>13024</v>
      </c>
      <c r="J288" s="72" t="n">
        <v>1114775.51</v>
      </c>
      <c r="K288" s="73" t="inlineStr">
        <is>
          <t>CATEGORY MISMATCH</t>
        </is>
      </c>
      <c r="L288" s="74" t="inlineStr">
        <is>
          <t>Expected 'Accounts Receivable (A/R)', found 'Services'.</t>
        </is>
      </c>
    </row>
    <row r="289" ht="16" customHeight="1">
      <c r="B289" s="71" t="inlineStr">
        <is>
          <t>Services</t>
        </is>
      </c>
      <c r="C289" s="71" t="inlineStr">
        <is>
          <t>07/31/2026</t>
        </is>
      </c>
      <c r="D289" s="71" t="inlineStr">
        <is>
          <t>Invoice</t>
        </is>
      </c>
      <c r="E289" s="71" t="inlineStr">
        <is>
          <t>1601</t>
        </is>
      </c>
      <c r="F289" s="71" t="inlineStr">
        <is>
          <t>Nityo Infotech Corporation</t>
        </is>
      </c>
      <c r="G289" s="71" t="inlineStr">
        <is>
          <t>1.2% payment fee for Vendor Management Charges</t>
        </is>
      </c>
      <c r="H289" s="71" t="inlineStr">
        <is>
          <t>Accounts Receivable (A/R)</t>
        </is>
      </c>
      <c r="I289" s="72" t="n">
        <v>-156.28</v>
      </c>
      <c r="J289" s="72" t="n">
        <v>1114619.23</v>
      </c>
      <c r="K289" s="73" t="inlineStr">
        <is>
          <t>CATEGORY MISMATCH</t>
        </is>
      </c>
      <c r="L289" s="74" t="inlineStr">
        <is>
          <t>Expected 'Accounts Receivable (A/R)', found 'Services'.</t>
        </is>
      </c>
    </row>
    <row r="290" ht="16" customHeight="1">
      <c r="B290" s="71" t="inlineStr">
        <is>
          <t>Services</t>
        </is>
      </c>
      <c r="C290" s="71" t="inlineStr">
        <is>
          <t>07/31/2026</t>
        </is>
      </c>
      <c r="D290" s="71" t="inlineStr">
        <is>
          <t>Invoice</t>
        </is>
      </c>
      <c r="E290" s="71" t="inlineStr">
        <is>
          <t>1602</t>
        </is>
      </c>
      <c r="F290" s="71" t="inlineStr">
        <is>
          <t>Vivid Technologies Inc</t>
        </is>
      </c>
      <c r="G290" s="71" t="inlineStr">
        <is>
          <t>Professional Services from the period 07/01/26 - 07/31/26</t>
        </is>
      </c>
      <c r="H290" s="71" t="inlineStr">
        <is>
          <t>Accounts Receivable (A/R)</t>
        </is>
      </c>
      <c r="I290" s="72" t="n">
        <v>10920</v>
      </c>
      <c r="J290" s="72" t="n">
        <v>1125539.23</v>
      </c>
      <c r="K290" s="73" t="inlineStr">
        <is>
          <t>CATEGORY MISMATCH</t>
        </is>
      </c>
      <c r="L290" s="74" t="inlineStr">
        <is>
          <t>Expected 'Accounts Receivable (A/R)', found 'Services'.</t>
        </is>
      </c>
    </row>
    <row r="291" ht="16" customHeight="1">
      <c r="B291" s="71" t="inlineStr">
        <is>
          <t>Services</t>
        </is>
      </c>
      <c r="C291" s="71" t="inlineStr">
        <is>
          <t>07/31/2026</t>
        </is>
      </c>
      <c r="D291" s="71" t="inlineStr">
        <is>
          <t>Invoice</t>
        </is>
      </c>
      <c r="E291" s="71" t="inlineStr">
        <is>
          <t>1604</t>
        </is>
      </c>
      <c r="F291" s="71" t="inlineStr">
        <is>
          <t>Bigbyte</t>
        </is>
      </c>
      <c r="G291" s="71" t="inlineStr">
        <is>
          <t>Professional Services from the period 07/01/26 -07/31/26</t>
        </is>
      </c>
      <c r="H291" s="71" t="inlineStr">
        <is>
          <t>Accounts Receivable (A/R)</t>
        </is>
      </c>
      <c r="I291" s="72" t="n">
        <v>11792</v>
      </c>
      <c r="J291" s="72" t="n">
        <v>1137331.23</v>
      </c>
      <c r="K291" s="73" t="inlineStr">
        <is>
          <t>CATEGORY MISMATCH</t>
        </is>
      </c>
      <c r="L291" s="74" t="inlineStr">
        <is>
          <t>Expected 'Accounts Receivable (A/R)', found 'Services'.</t>
        </is>
      </c>
    </row>
    <row r="292" ht="16" customHeight="1">
      <c r="B292" s="71" t="inlineStr">
        <is>
          <t>Services</t>
        </is>
      </c>
      <c r="C292" s="71" t="inlineStr">
        <is>
          <t>07/31/2026</t>
        </is>
      </c>
      <c r="D292" s="71" t="inlineStr">
        <is>
          <t>Invoice</t>
        </is>
      </c>
      <c r="E292" s="71" t="inlineStr">
        <is>
          <t>1603</t>
        </is>
      </c>
      <c r="F292" s="71" t="inlineStr">
        <is>
          <t>Randstand Digital</t>
        </is>
      </c>
      <c r="G292" s="71" t="inlineStr">
        <is>
          <t>Venkata Vinay Kumar 07/01/2026 -07/31/2026</t>
        </is>
      </c>
      <c r="H292" s="71" t="inlineStr">
        <is>
          <t>Accounts Receivable (A/R)</t>
        </is>
      </c>
      <c r="I292" s="72" t="n">
        <v>7136.8</v>
      </c>
      <c r="J292" s="72" t="n">
        <v>1144468.03</v>
      </c>
      <c r="K292" s="73" t="inlineStr">
        <is>
          <t>CATEGORY MISMATCH</t>
        </is>
      </c>
      <c r="L292" s="74" t="inlineStr">
        <is>
          <t>Expected 'Accounts Receivable (A/R)', found 'Services'.</t>
        </is>
      </c>
    </row>
    <row r="293" ht="16" customHeight="1">
      <c r="B293" s="71" t="inlineStr">
        <is>
          <t>Services</t>
        </is>
      </c>
      <c r="C293" s="71" t="inlineStr">
        <is>
          <t>07/31/2026</t>
        </is>
      </c>
      <c r="D293" s="71" t="inlineStr">
        <is>
          <t>Invoice</t>
        </is>
      </c>
      <c r="E293" s="71" t="inlineStr">
        <is>
          <t>1605</t>
        </is>
      </c>
      <c r="F293" s="71" t="inlineStr">
        <is>
          <t>AGILISIUM CONSULTING LLC</t>
        </is>
      </c>
      <c r="G293" s="71" t="inlineStr">
        <is>
          <t>Gadupudi Ravi Kumar – Professional Services for the period 07/01/26 - 07/31/26</t>
        </is>
      </c>
      <c r="H293" s="71" t="inlineStr">
        <is>
          <t>Accounts Receivable (A/R)</t>
        </is>
      </c>
      <c r="I293" s="72" t="n">
        <v>4048</v>
      </c>
      <c r="J293" s="72" t="n">
        <v>1148516.03</v>
      </c>
      <c r="K293" s="73" t="inlineStr">
        <is>
          <t>CATEGORY MISMATCH</t>
        </is>
      </c>
      <c r="L293" s="74" t="inlineStr">
        <is>
          <t>Expected 'Accounts Receivable (A/R)', found 'Services'.</t>
        </is>
      </c>
    </row>
    <row r="294" ht="16" customHeight="1">
      <c r="B294" s="71" t="inlineStr">
        <is>
          <t>Services</t>
        </is>
      </c>
      <c r="C294" s="71" t="inlineStr">
        <is>
          <t>07/31/2026</t>
        </is>
      </c>
      <c r="D294" s="71" t="inlineStr">
        <is>
          <t>Invoice</t>
        </is>
      </c>
      <c r="E294" s="71" t="inlineStr">
        <is>
          <t>1606</t>
        </is>
      </c>
      <c r="F294" s="71" t="inlineStr">
        <is>
          <t>Infinite Computer Solutions Inc.</t>
        </is>
      </c>
      <c r="G294" s="71" t="inlineStr">
        <is>
          <t>07/01/26 - 07/31/26 (Invoice I- 496082)</t>
        </is>
      </c>
      <c r="H294" s="71" t="inlineStr">
        <is>
          <t>Accounts Receivable (A/R)</t>
        </is>
      </c>
      <c r="I294" s="72" t="n">
        <v>12414.48</v>
      </c>
      <c r="J294" s="72" t="n">
        <v>1160930.51</v>
      </c>
      <c r="K294" s="73" t="inlineStr">
        <is>
          <t>CATEGORY MISMATCH</t>
        </is>
      </c>
      <c r="L294" s="74" t="inlineStr">
        <is>
          <t>Expected 'Accounts Receivable (A/R)', found 'Services'.</t>
        </is>
      </c>
    </row>
    <row r="295" ht="16" customHeight="1">
      <c r="B295" s="71" t="inlineStr">
        <is>
          <t>Services</t>
        </is>
      </c>
      <c r="C295" s="71" t="inlineStr">
        <is>
          <t>07/31/2026</t>
        </is>
      </c>
      <c r="D295" s="71" t="inlineStr">
        <is>
          <t>Invoice</t>
        </is>
      </c>
      <c r="E295" s="71" t="inlineStr">
        <is>
          <t>1607</t>
        </is>
      </c>
      <c r="F295" s="71" t="inlineStr">
        <is>
          <t>American Technology Services LLC</t>
        </is>
      </c>
      <c r="G295" s="71" t="inlineStr">
        <is>
          <t>Nagendra Jaggarapu - 07/01/26 - 07/31/26 (Work Order# OMF-CW-0003240)</t>
        </is>
      </c>
      <c r="H295" s="71" t="inlineStr">
        <is>
          <t>Accounts Receivable (A/R)</t>
        </is>
      </c>
      <c r="I295" s="72" t="n">
        <v>16800</v>
      </c>
      <c r="J295" s="72" t="n">
        <v>1177730.51</v>
      </c>
      <c r="K295" s="73" t="inlineStr">
        <is>
          <t>CATEGORY MISMATCH</t>
        </is>
      </c>
      <c r="L295" s="74" t="inlineStr">
        <is>
          <t>Expected 'Accounts Receivable (A/R)', found 'Services'.</t>
        </is>
      </c>
    </row>
    <row r="296" ht="16" customHeight="1">
      <c r="B296" s="71" t="inlineStr">
        <is>
          <t>Services</t>
        </is>
      </c>
      <c r="C296" s="71" t="inlineStr">
        <is>
          <t>07/31/2026</t>
        </is>
      </c>
      <c r="D296" s="71" t="inlineStr">
        <is>
          <t>Invoice</t>
        </is>
      </c>
      <c r="E296" s="71" t="inlineStr">
        <is>
          <t>1608</t>
        </is>
      </c>
      <c r="F296" s="71" t="inlineStr">
        <is>
          <t>Sage Solutions LLC</t>
        </is>
      </c>
      <c r="G296" s="71" t="inlineStr">
        <is>
          <t>Sravan Tadepalli_07/01/26- 07/31/26</t>
        </is>
      </c>
      <c r="H296" s="71" t="inlineStr">
        <is>
          <t>Accounts Receivable (A/R)</t>
        </is>
      </c>
      <c r="I296" s="72" t="n">
        <v>11264</v>
      </c>
      <c r="J296" s="72" t="n">
        <v>1188994.51</v>
      </c>
      <c r="K296" s="73" t="inlineStr">
        <is>
          <t>CATEGORY MISMATCH</t>
        </is>
      </c>
      <c r="L296" s="74" t="inlineStr">
        <is>
          <t>Expected 'Consulting Fees', found 'Services'.</t>
        </is>
      </c>
    </row>
    <row r="297" ht="16" customHeight="1">
      <c r="B297" s="71" t="inlineStr">
        <is>
          <t>Services</t>
        </is>
      </c>
      <c r="C297" s="71" t="inlineStr">
        <is>
          <t>07/31/2026</t>
        </is>
      </c>
      <c r="D297" s="71" t="inlineStr">
        <is>
          <t>Invoice</t>
        </is>
      </c>
      <c r="E297" s="71" t="inlineStr">
        <is>
          <t>1609</t>
        </is>
      </c>
      <c r="F297" s="71" t="inlineStr">
        <is>
          <t>American Technology Services LLC</t>
        </is>
      </c>
      <c r="G297" s="71" t="inlineStr">
        <is>
          <t>Professional Services from the period 07/01/26 - 07/31/26 (Work Order# OMF-WO-0003012)</t>
        </is>
      </c>
      <c r="H297" s="71" t="inlineStr">
        <is>
          <t>Accounts Receivable (A/R)</t>
        </is>
      </c>
      <c r="I297" s="72" t="n">
        <v>11440</v>
      </c>
      <c r="J297" s="72" t="n">
        <v>1200434.51</v>
      </c>
      <c r="K297" s="73" t="inlineStr">
        <is>
          <t>CATEGORY MISMATCH</t>
        </is>
      </c>
      <c r="L297" s="74" t="inlineStr">
        <is>
          <t>Expected 'Accounts Receivable (A/R)', found 'Services'.</t>
        </is>
      </c>
    </row>
    <row r="298" ht="16" customHeight="1">
      <c r="B298" s="71" t="inlineStr">
        <is>
          <t>Services</t>
        </is>
      </c>
      <c r="C298" s="71" t="inlineStr">
        <is>
          <t>07/31/2026</t>
        </is>
      </c>
      <c r="D298" s="71" t="inlineStr">
        <is>
          <t>Invoice</t>
        </is>
      </c>
      <c r="E298" s="71" t="inlineStr">
        <is>
          <t>1615</t>
        </is>
      </c>
      <c r="F298" s="71" t="inlineStr">
        <is>
          <t>AGILISIUM CONSULTING LLC</t>
        </is>
      </c>
      <c r="G298" s="71" t="inlineStr">
        <is>
          <t>Rakesh Varma Uppalapati _ 07/01/26 - 07/31/26</t>
        </is>
      </c>
      <c r="H298" s="71" t="inlineStr">
        <is>
          <t>Accounts Receivable (A/R)</t>
        </is>
      </c>
      <c r="I298" s="72" t="n">
        <v>14960</v>
      </c>
      <c r="J298" s="72" t="n">
        <v>1215394.51</v>
      </c>
      <c r="K298" s="73" t="inlineStr">
        <is>
          <t>CATEGORY MISMATCH</t>
        </is>
      </c>
      <c r="L298" s="74" t="inlineStr">
        <is>
          <t>Expected 'Accounts Receivable (A/R)', found 'Services'.</t>
        </is>
      </c>
    </row>
    <row r="299" ht="16" customHeight="1">
      <c r="B299" s="71" t="inlineStr">
        <is>
          <t>Services</t>
        </is>
      </c>
      <c r="C299" s="71" t="inlineStr">
        <is>
          <t>07/31/2026</t>
        </is>
      </c>
      <c r="D299" s="71" t="inlineStr">
        <is>
          <t>Invoice</t>
        </is>
      </c>
      <c r="E299" s="71" t="inlineStr">
        <is>
          <t>1618</t>
        </is>
      </c>
      <c r="F299" s="71" t="inlineStr">
        <is>
          <t>Vendorpass, INC</t>
        </is>
      </c>
      <c r="G299" s="71" t="inlineStr">
        <is>
          <t>07/01/26-07/31/26</t>
        </is>
      </c>
      <c r="H299" s="71" t="inlineStr">
        <is>
          <t>Accounts Receivable (A/R)</t>
        </is>
      </c>
      <c r="I299" s="72" t="n">
        <v>9328</v>
      </c>
      <c r="J299" s="72" t="n">
        <v>1224722.51</v>
      </c>
      <c r="K299" s="73" t="inlineStr">
        <is>
          <t>CATEGORY MISMATCH</t>
        </is>
      </c>
      <c r="L299" s="74" t="inlineStr">
        <is>
          <t>Expected 'Accounts Receivable (A/R)', found 'Services'.</t>
        </is>
      </c>
    </row>
    <row r="300" ht="16" customHeight="1">
      <c r="A300" s="37" t="inlineStr">
        <is>
          <t>Total for Services</t>
        </is>
      </c>
      <c r="I300" s="70">
        <f>I276+I277+I278+I279+I280+I281+I282+I283+I284+I285+I286+I287+I288+I289+I290+I291+I292+I293+I294+I295+I296+I297+I298+I299</f>
        <v/>
      </c>
    </row>
    <row r="301" ht="16" customHeight="1">
      <c r="A301" s="36" t="inlineStr">
        <is>
          <t>Uncategorized Income</t>
        </is>
      </c>
    </row>
    <row r="302" ht="16" customHeight="1">
      <c r="B302" s="66" t="inlineStr">
        <is>
          <t>Uncategorized Income</t>
        </is>
      </c>
      <c r="C302" s="66" t="inlineStr">
        <is>
          <t>07/28/2026</t>
        </is>
      </c>
      <c r="D302" s="66" t="inlineStr">
        <is>
          <t>Deposit</t>
        </is>
      </c>
      <c r="E302" s="66" t="inlineStr"/>
      <c r="F302" s="66" t="inlineStr"/>
      <c r="G302" s="66" t="inlineStr">
        <is>
          <t>BKOFAMERICA MOBILE 07/29 3778024504 DEPOSIT *MOBILE FL</t>
        </is>
      </c>
      <c r="H302" s="66" t="inlineStr">
        <is>
          <t>Bank of America</t>
        </is>
      </c>
      <c r="I302" s="67" t="n">
        <v>2803.69</v>
      </c>
      <c r="J302" s="67" t="n">
        <v>2803.69</v>
      </c>
      <c r="K302" s="68" t="inlineStr">
        <is>
          <t>UNCATEGORIZED</t>
        </is>
      </c>
      <c r="L302" s="69" t="inlineStr">
        <is>
          <t>Uncategorized transaction requires reconciliation / invoice mapping.</t>
        </is>
      </c>
    </row>
    <row r="303" ht="16" customHeight="1">
      <c r="A303" s="37" t="inlineStr">
        <is>
          <t>Total for Uncategorized Income</t>
        </is>
      </c>
      <c r="I303" s="70">
        <f>I302</f>
        <v/>
      </c>
    </row>
    <row r="304" ht="16" customHeight="1">
      <c r="A304" s="36" t="inlineStr">
        <is>
          <t>COGS - Vendor</t>
        </is>
      </c>
    </row>
    <row r="305" ht="16" customHeight="1">
      <c r="B305" s="26" t="inlineStr">
        <is>
          <t>Beginning Balance</t>
        </is>
      </c>
      <c r="J305" s="57" t="n">
        <v>203871.42</v>
      </c>
    </row>
    <row r="306" ht="16" customHeight="1">
      <c r="B306" s="71" t="inlineStr">
        <is>
          <t>COGS - Vendor</t>
        </is>
      </c>
      <c r="C306" s="71" t="inlineStr">
        <is>
          <t>07/06/2026</t>
        </is>
      </c>
      <c r="D306" s="71" t="inlineStr">
        <is>
          <t>Bill</t>
        </is>
      </c>
      <c r="E306" s="71" t="inlineStr">
        <is>
          <t>ASM044</t>
        </is>
      </c>
      <c r="F306" s="71" t="inlineStr">
        <is>
          <t>Astramind Solutions Private Limited</t>
        </is>
      </c>
      <c r="G306" s="71" t="inlineStr">
        <is>
          <t>Offshore IT Support Services - June 2026</t>
        </is>
      </c>
      <c r="H306" s="71" t="inlineStr">
        <is>
          <t>Accounts Payable (A/P)</t>
        </is>
      </c>
      <c r="I306" s="72" t="n">
        <v>12675.9</v>
      </c>
      <c r="J306" s="72" t="n">
        <v>216547.32</v>
      </c>
      <c r="K306" s="73" t="inlineStr">
        <is>
          <t>CATEGORY MISMATCH</t>
        </is>
      </c>
      <c r="L306" s="74" t="inlineStr">
        <is>
          <t>Expected 'Accounts Payable (A/P)', found 'COGS - Vendor'.</t>
        </is>
      </c>
    </row>
    <row r="307" ht="16" customHeight="1">
      <c r="B307" s="71" t="inlineStr">
        <is>
          <t>COGS - Vendor</t>
        </is>
      </c>
      <c r="C307" s="71" t="inlineStr">
        <is>
          <t>07/07/2026</t>
        </is>
      </c>
      <c r="D307" s="71" t="inlineStr">
        <is>
          <t>Bill</t>
        </is>
      </c>
      <c r="E307" s="71" t="inlineStr">
        <is>
          <t>ASM045</t>
        </is>
      </c>
      <c r="F307" s="71" t="inlineStr">
        <is>
          <t>Astramind Solutions Private Limited</t>
        </is>
      </c>
      <c r="G307" s="71" t="inlineStr">
        <is>
          <t>Offshore marketing and web development services - ₹9,02,720.00</t>
        </is>
      </c>
      <c r="H307" s="71" t="inlineStr">
        <is>
          <t>Accounts Payable (A/P)</t>
        </is>
      </c>
      <c r="I307" s="72" t="n">
        <v>9541.690000000001</v>
      </c>
      <c r="J307" s="72" t="n">
        <v>226089.01</v>
      </c>
      <c r="K307" s="73" t="inlineStr">
        <is>
          <t>CATEGORY MISMATCH</t>
        </is>
      </c>
      <c r="L307" s="74" t="inlineStr">
        <is>
          <t>Expected 'Accounts Payable (A/P)', found 'COGS - Vendor'.</t>
        </is>
      </c>
    </row>
    <row r="308" ht="16" customHeight="1">
      <c r="B308" s="71" t="inlineStr">
        <is>
          <t>COGS - Vendor</t>
        </is>
      </c>
      <c r="C308" s="71" t="inlineStr">
        <is>
          <t>07/22/2026</t>
        </is>
      </c>
      <c r="D308" s="71" t="inlineStr">
        <is>
          <t>Bill</t>
        </is>
      </c>
      <c r="E308" s="71" t="inlineStr">
        <is>
          <t>5</t>
        </is>
      </c>
      <c r="F308" s="71" t="inlineStr">
        <is>
          <t>Aneru LLC</t>
        </is>
      </c>
      <c r="G308" s="71" t="inlineStr"/>
      <c r="H308" s="71" t="inlineStr">
        <is>
          <t>Accounts Payable (A/P)</t>
        </is>
      </c>
      <c r="I308" s="72" t="n">
        <v>15556</v>
      </c>
      <c r="J308" s="72" t="n">
        <v>241645.01</v>
      </c>
      <c r="K308" s="73" t="inlineStr">
        <is>
          <t>CATEGORY MISMATCH</t>
        </is>
      </c>
      <c r="L308" s="74" t="inlineStr">
        <is>
          <t>Expected 'Accounts Payable (A/P)', found 'COGS - Vendor'.</t>
        </is>
      </c>
    </row>
    <row r="309" ht="16" customHeight="1">
      <c r="B309" s="71" t="inlineStr">
        <is>
          <t>COGS - Vendor</t>
        </is>
      </c>
      <c r="C309" s="71" t="inlineStr">
        <is>
          <t>07/28/2026</t>
        </is>
      </c>
      <c r="D309" s="71" t="inlineStr">
        <is>
          <t>Bill</t>
        </is>
      </c>
      <c r="E309" s="71" t="inlineStr">
        <is>
          <t>VSL07282026</t>
        </is>
      </c>
      <c r="F309" s="71" t="inlineStr">
        <is>
          <t>PTL Consultancy</t>
        </is>
      </c>
      <c r="G309" s="71" t="inlineStr">
        <is>
          <t>India July 2026 Salaries -  SUBTOTAL INR 528,875.00</t>
        </is>
      </c>
      <c r="H309" s="71" t="inlineStr">
        <is>
          <t>Accounts Payable (A/P)</t>
        </is>
      </c>
      <c r="I309" s="72" t="n">
        <v>5546.55</v>
      </c>
      <c r="J309" s="72" t="n">
        <v>247191.56</v>
      </c>
      <c r="K309" s="73" t="inlineStr">
        <is>
          <t>CATEGORY MISMATCH</t>
        </is>
      </c>
      <c r="L309" s="74" t="inlineStr">
        <is>
          <t>Expected 'Accounts Payable (A/P)', found 'COGS - Vendor'.</t>
        </is>
      </c>
    </row>
    <row r="310" ht="16" customHeight="1">
      <c r="A310" s="37" t="inlineStr">
        <is>
          <t>Total for COGS - Vendor</t>
        </is>
      </c>
      <c r="I310" s="70">
        <f>I305+I306+I307+I308+I309</f>
        <v/>
      </c>
    </row>
    <row r="311" ht="16" customHeight="1">
      <c r="A311" s="38" t="inlineStr">
        <is>
          <t>Salaries &amp; wages</t>
        </is>
      </c>
    </row>
    <row r="312" ht="16" customHeight="1">
      <c r="B312" s="26" t="inlineStr">
        <is>
          <t>Beginning Balance</t>
        </is>
      </c>
      <c r="J312" s="57" t="n">
        <v>494718.09</v>
      </c>
    </row>
    <row r="313" ht="16" customHeight="1">
      <c r="B313" s="58" t="inlineStr">
        <is>
          <t>Salaries &amp; wages</t>
        </is>
      </c>
      <c r="C313" s="58" t="inlineStr">
        <is>
          <t>07/15/2026</t>
        </is>
      </c>
      <c r="D313" s="58" t="inlineStr">
        <is>
          <t>Journal Entry</t>
        </is>
      </c>
      <c r="E313" s="58" t="inlineStr"/>
      <c r="F313" s="58" t="inlineStr"/>
      <c r="G313" s="58" t="inlineStr"/>
      <c r="H313" s="58" t="inlineStr"/>
      <c r="I313" s="59" t="n">
        <v>33789</v>
      </c>
      <c r="J313" s="59" t="n">
        <v>528507.0900000001</v>
      </c>
      <c r="K313" s="60" t="inlineStr">
        <is>
          <t>MATCHED</t>
        </is>
      </c>
      <c r="L313" s="61" t="inlineStr">
        <is>
          <t>Standard ledger entry</t>
        </is>
      </c>
    </row>
    <row r="314" ht="16" customHeight="1">
      <c r="B314" s="58" t="inlineStr">
        <is>
          <t>Salaries &amp; wages</t>
        </is>
      </c>
      <c r="C314" s="58" t="inlineStr">
        <is>
          <t>07/27/2026</t>
        </is>
      </c>
      <c r="D314" s="58" t="inlineStr">
        <is>
          <t>Journal Entry</t>
        </is>
      </c>
      <c r="E314" s="58" t="inlineStr">
        <is>
          <t>06/15-07/30</t>
        </is>
      </c>
      <c r="F314" s="58" t="inlineStr"/>
      <c r="G314" s="58" t="inlineStr"/>
      <c r="H314" s="58" t="inlineStr"/>
      <c r="I314" s="59" t="n">
        <v>4576</v>
      </c>
      <c r="J314" s="59" t="n">
        <v>533083.0900000001</v>
      </c>
      <c r="K314" s="60" t="inlineStr">
        <is>
          <t>MATCHED</t>
        </is>
      </c>
      <c r="L314" s="61" t="inlineStr">
        <is>
          <t>Standard ledger entry</t>
        </is>
      </c>
    </row>
    <row r="315" ht="16" customHeight="1">
      <c r="B315" s="58" t="inlineStr">
        <is>
          <t>Salaries &amp; wages</t>
        </is>
      </c>
      <c r="C315" s="58" t="inlineStr">
        <is>
          <t>07/31/2026</t>
        </is>
      </c>
      <c r="D315" s="58" t="inlineStr">
        <is>
          <t>Journal Entry</t>
        </is>
      </c>
      <c r="E315" s="58" t="inlineStr"/>
      <c r="F315" s="58" t="inlineStr"/>
      <c r="G315" s="58" t="inlineStr"/>
      <c r="H315" s="58" t="inlineStr"/>
      <c r="I315" s="59" t="n">
        <v>35990.6</v>
      </c>
      <c r="J315" s="59" t="n">
        <v>569073.6900000001</v>
      </c>
      <c r="K315" s="60" t="inlineStr">
        <is>
          <t>MATCHED</t>
        </is>
      </c>
      <c r="L315" s="61" t="inlineStr">
        <is>
          <t>Standard ledger entry</t>
        </is>
      </c>
    </row>
    <row r="316" ht="16" customHeight="1">
      <c r="A316" s="39" t="inlineStr">
        <is>
          <t>Total for Salaries &amp; wages</t>
        </is>
      </c>
      <c r="I316" s="70">
        <f>I311+I312+I313+I314+I315</f>
        <v/>
      </c>
    </row>
    <row r="317" ht="16" customHeight="1">
      <c r="A317" s="37" t="inlineStr">
        <is>
          <t>Total for COGS - Vendor with sub-accounts</t>
        </is>
      </c>
      <c r="I317" s="70">
        <f>I310+I316</f>
        <v/>
      </c>
    </row>
    <row r="318" ht="16" customHeight="1">
      <c r="A318" s="36" t="inlineStr">
        <is>
          <t>Consulting Fees</t>
        </is>
      </c>
    </row>
    <row r="319" ht="16" customHeight="1">
      <c r="B319" s="26" t="inlineStr">
        <is>
          <t>Beginning Balance</t>
        </is>
      </c>
      <c r="J319" s="57" t="n">
        <v>163328</v>
      </c>
    </row>
    <row r="320" ht="16" customHeight="1">
      <c r="B320" s="58" t="inlineStr">
        <is>
          <t>Consulting Fees</t>
        </is>
      </c>
      <c r="C320" s="58" t="inlineStr">
        <is>
          <t>07/31/2026</t>
        </is>
      </c>
      <c r="D320" s="58" t="inlineStr">
        <is>
          <t>Bill</t>
        </is>
      </c>
      <c r="E320" s="58" t="inlineStr"/>
      <c r="F320" s="58" t="inlineStr">
        <is>
          <t>Sysconsult LLC</t>
        </is>
      </c>
      <c r="G320" s="58" t="inlineStr">
        <is>
          <t>Sravan Tadepalli_ 07/01/2026 to 07/31/2026 (176*55)</t>
        </is>
      </c>
      <c r="H320" s="58" t="inlineStr">
        <is>
          <t>Accounts Payable (A/P)</t>
        </is>
      </c>
      <c r="I320" s="59" t="n">
        <v>9680</v>
      </c>
      <c r="J320" s="59" t="n">
        <v>173008</v>
      </c>
      <c r="K320" s="60" t="inlineStr">
        <is>
          <t>MATCHED</t>
        </is>
      </c>
      <c r="L320" s="61" t="inlineStr">
        <is>
          <t>Matched to historical category: Consulting Fees</t>
        </is>
      </c>
    </row>
    <row r="321" ht="16" customHeight="1">
      <c r="B321" s="58" t="inlineStr">
        <is>
          <t>Consulting Fees</t>
        </is>
      </c>
      <c r="C321" s="58" t="inlineStr">
        <is>
          <t>07/31/2026</t>
        </is>
      </c>
      <c r="D321" s="58" t="inlineStr">
        <is>
          <t>Bill</t>
        </is>
      </c>
      <c r="E321" s="58" t="inlineStr">
        <is>
          <t>12282018626</t>
        </is>
      </c>
      <c r="F321" s="58" t="inlineStr">
        <is>
          <t>Sage Solutions</t>
        </is>
      </c>
      <c r="G321" s="58" t="inlineStr">
        <is>
          <t>Venkata Vinay Kumar 07/01/2026 -07/31/2026 (88*$77)</t>
        </is>
      </c>
      <c r="H321" s="58" t="inlineStr">
        <is>
          <t>Accounts Payable (A/P)</t>
        </is>
      </c>
      <c r="I321" s="59" t="n">
        <v>6776</v>
      </c>
      <c r="J321" s="59" t="n">
        <v>179784</v>
      </c>
      <c r="K321" s="60" t="inlineStr">
        <is>
          <t>MATCHED</t>
        </is>
      </c>
      <c r="L321" s="61" t="inlineStr">
        <is>
          <t>Matched to historical category: Consulting Fees</t>
        </is>
      </c>
    </row>
    <row r="322" ht="16" customHeight="1">
      <c r="A322" s="37" t="inlineStr">
        <is>
          <t>Total for Consulting Fees</t>
        </is>
      </c>
      <c r="I322" s="70">
        <f>I319+I320+I321</f>
        <v/>
      </c>
    </row>
    <row r="323" ht="16" customHeight="1">
      <c r="A323" s="36" t="inlineStr">
        <is>
          <t>Commissions &amp; fees</t>
        </is>
      </c>
    </row>
    <row r="324" ht="16" customHeight="1">
      <c r="B324" s="26" t="inlineStr">
        <is>
          <t>Beginning Balance</t>
        </is>
      </c>
      <c r="J324" s="57" t="n">
        <v>5952</v>
      </c>
    </row>
    <row r="325" ht="16" customHeight="1">
      <c r="A325" s="37" t="inlineStr">
        <is>
          <t>Total for Commissions &amp; fees</t>
        </is>
      </c>
      <c r="I325" s="70">
        <f>I324</f>
        <v/>
      </c>
    </row>
    <row r="326" ht="16" customHeight="1">
      <c r="A326" s="36" t="inlineStr">
        <is>
          <t>Dues &amp; subscriptions</t>
        </is>
      </c>
    </row>
    <row r="327" ht="16" customHeight="1">
      <c r="B327" s="26" t="inlineStr">
        <is>
          <t>Beginning Balance</t>
        </is>
      </c>
      <c r="J327" s="57" t="n">
        <v>1305.14</v>
      </c>
    </row>
    <row r="328" ht="16" customHeight="1">
      <c r="B328" s="58" t="inlineStr">
        <is>
          <t>Dues &amp; subscriptions</t>
        </is>
      </c>
      <c r="C328" s="58" t="inlineStr">
        <is>
          <t>07/10/2026</t>
        </is>
      </c>
      <c r="D328" s="58" t="inlineStr">
        <is>
          <t>Expense</t>
        </is>
      </c>
      <c r="E328" s="58" t="inlineStr"/>
      <c r="F328" s="58" t="inlineStr"/>
      <c r="G328" s="58" t="inlineStr">
        <is>
          <t>INTUIT QUICKBOOKS   800-446-8848        CA</t>
        </is>
      </c>
      <c r="H328" s="58" t="inlineStr">
        <is>
          <t>Amex CC</t>
        </is>
      </c>
      <c r="I328" s="59" t="n">
        <v>38</v>
      </c>
      <c r="J328" s="59" t="n">
        <v>1343.14</v>
      </c>
      <c r="K328" s="60" t="inlineStr">
        <is>
          <t>MATCHED</t>
        </is>
      </c>
      <c r="L328" s="61" t="inlineStr">
        <is>
          <t>Matched to historical category: Dues &amp; subscriptions</t>
        </is>
      </c>
    </row>
    <row r="329" ht="16" customHeight="1">
      <c r="B329" s="71" t="inlineStr">
        <is>
          <t>Dues &amp; subscriptions</t>
        </is>
      </c>
      <c r="C329" s="71" t="inlineStr">
        <is>
          <t>07/13/2026</t>
        </is>
      </c>
      <c r="D329" s="71" t="inlineStr">
        <is>
          <t>Expense</t>
        </is>
      </c>
      <c r="E329" s="71" t="inlineStr"/>
      <c r="F329" s="71" t="inlineStr"/>
      <c r="G329" s="71" t="inlineStr">
        <is>
          <t>OPENAI *CHATGPT SUBSCR 4158799686 CA</t>
        </is>
      </c>
      <c r="H329" s="71" t="inlineStr">
        <is>
          <t>BOA CC</t>
        </is>
      </c>
      <c r="I329" s="72" t="n">
        <v>20</v>
      </c>
      <c r="J329" s="72" t="n">
        <v>1363.14</v>
      </c>
      <c r="K329" s="73" t="inlineStr">
        <is>
          <t>CATEGORY MISMATCH</t>
        </is>
      </c>
      <c r="L329" s="74" t="inlineStr">
        <is>
          <t>Expected 'Office expenses:Software &amp; apps', found 'Dues &amp; subscriptions'.</t>
        </is>
      </c>
    </row>
    <row r="330" ht="16" customHeight="1">
      <c r="A330" s="37" t="inlineStr">
        <is>
          <t>Total for Dues &amp; subscriptions</t>
        </is>
      </c>
      <c r="I330" s="70">
        <f>I327+I328+I329</f>
        <v/>
      </c>
    </row>
    <row r="331" ht="16" customHeight="1">
      <c r="A331" s="36" t="inlineStr">
        <is>
          <t>General business expenses</t>
        </is>
      </c>
    </row>
    <row r="332" ht="16" customHeight="1">
      <c r="A332" s="38" t="inlineStr">
        <is>
          <t>Bank fees &amp; service charges</t>
        </is>
      </c>
    </row>
    <row r="333" ht="16" customHeight="1">
      <c r="B333" s="26" t="inlineStr">
        <is>
          <t>Beginning Balance</t>
        </is>
      </c>
      <c r="J333" s="57" t="n">
        <v>393.69</v>
      </c>
    </row>
    <row r="334" ht="16" customHeight="1">
      <c r="B334" s="58" t="inlineStr">
        <is>
          <t>Bank fees &amp; service charges</t>
        </is>
      </c>
      <c r="C334" s="58" t="inlineStr">
        <is>
          <t>07/21/2026</t>
        </is>
      </c>
      <c r="D334" s="58" t="inlineStr">
        <is>
          <t>Expense</t>
        </is>
      </c>
      <c r="E334" s="58" t="inlineStr"/>
      <c r="F334" s="58" t="inlineStr"/>
      <c r="G334" s="58" t="inlineStr">
        <is>
          <t>External transfer fee - 3 Day - 07/20/2026 Confirmation: 623413086</t>
        </is>
      </c>
      <c r="H334" s="58" t="inlineStr">
        <is>
          <t>Bank of America</t>
        </is>
      </c>
      <c r="I334" s="59" t="n">
        <v>1</v>
      </c>
      <c r="J334" s="59" t="n">
        <v>394.69</v>
      </c>
      <c r="K334" s="60" t="inlineStr">
        <is>
          <t>MATCHED</t>
        </is>
      </c>
      <c r="L334" s="61" t="inlineStr">
        <is>
          <t>Standard ledger entry</t>
        </is>
      </c>
    </row>
    <row r="335" ht="16" customHeight="1">
      <c r="B335" s="58" t="inlineStr">
        <is>
          <t>Bank fees &amp; service charges</t>
        </is>
      </c>
      <c r="C335" s="58" t="inlineStr">
        <is>
          <t>07/23/2026</t>
        </is>
      </c>
      <c r="D335" s="58" t="inlineStr">
        <is>
          <t>Expense</t>
        </is>
      </c>
      <c r="E335" s="58" t="inlineStr"/>
      <c r="F335" s="58" t="inlineStr"/>
      <c r="G335" s="58" t="inlineStr">
        <is>
          <t>External transfer fee - Next Day - 07/22/2026 Confirmation: 623757016</t>
        </is>
      </c>
      <c r="H335" s="58" t="inlineStr">
        <is>
          <t>Bank of America</t>
        </is>
      </c>
      <c r="I335" s="59" t="n">
        <v>5</v>
      </c>
      <c r="J335" s="59" t="n">
        <v>399.69</v>
      </c>
      <c r="K335" s="60" t="inlineStr">
        <is>
          <t>MATCHED</t>
        </is>
      </c>
      <c r="L335" s="61" t="inlineStr">
        <is>
          <t>Standard ledger entry</t>
        </is>
      </c>
    </row>
    <row r="336" ht="16" customHeight="1">
      <c r="A336" s="39" t="inlineStr">
        <is>
          <t>Total for Bank fees &amp; service charges</t>
        </is>
      </c>
      <c r="I336" s="70">
        <f>I332+I333+I334+I335</f>
        <v/>
      </c>
    </row>
    <row r="337" ht="16" customHeight="1">
      <c r="A337" s="38" t="inlineStr">
        <is>
          <t>Memberships &amp; subscriptions</t>
        </is>
      </c>
    </row>
    <row r="338" ht="16" customHeight="1">
      <c r="B338" s="26" t="inlineStr">
        <is>
          <t>Beginning Balance</t>
        </is>
      </c>
      <c r="J338" s="57" t="n">
        <v>153.94</v>
      </c>
    </row>
    <row r="339" ht="16" customHeight="1">
      <c r="B339" s="58" t="inlineStr">
        <is>
          <t>Memberships &amp; subscriptions</t>
        </is>
      </c>
      <c r="C339" s="58" t="inlineStr">
        <is>
          <t>07/04/2026</t>
        </is>
      </c>
      <c r="D339" s="58" t="inlineStr">
        <is>
          <t>Expense</t>
        </is>
      </c>
      <c r="E339" s="58" t="inlineStr"/>
      <c r="F339" s="58" t="inlineStr"/>
      <c r="G339" s="58" t="inlineStr">
        <is>
          <t>NETFLIX.COM         866-579-7172        CA</t>
        </is>
      </c>
      <c r="H339" s="58" t="inlineStr">
        <is>
          <t>Amex CC</t>
        </is>
      </c>
      <c r="I339" s="59" t="n">
        <v>26.99</v>
      </c>
      <c r="J339" s="59" t="n">
        <v>180.93</v>
      </c>
      <c r="K339" s="60" t="inlineStr">
        <is>
          <t>MATCHED</t>
        </is>
      </c>
      <c r="L339" s="61" t="inlineStr">
        <is>
          <t>Matched to historical category: General business expenses:Memberships &amp; subscriptions</t>
        </is>
      </c>
    </row>
    <row r="340" ht="16" customHeight="1">
      <c r="B340" s="58" t="inlineStr">
        <is>
          <t>Memberships &amp; subscriptions</t>
        </is>
      </c>
      <c r="C340" s="58" t="inlineStr">
        <is>
          <t>07/11/2026</t>
        </is>
      </c>
      <c r="D340" s="58" t="inlineStr">
        <is>
          <t>Expense</t>
        </is>
      </c>
      <c r="E340" s="58" t="inlineStr"/>
      <c r="F340" s="58" t="inlineStr"/>
      <c r="G340" s="58" t="inlineStr">
        <is>
          <t>PRIME VIDEO *8C9K75P888-802-3080        WA</t>
        </is>
      </c>
      <c r="H340" s="58" t="inlineStr">
        <is>
          <t>Amex CC</t>
        </is>
      </c>
      <c r="I340" s="59" t="n">
        <v>1.74</v>
      </c>
      <c r="J340" s="59" t="n">
        <v>182.67</v>
      </c>
      <c r="K340" s="60" t="inlineStr">
        <is>
          <t>MATCHED</t>
        </is>
      </c>
      <c r="L340" s="61" t="inlineStr">
        <is>
          <t>Matched to historical category: General business expenses:Memberships &amp; subscriptions</t>
        </is>
      </c>
    </row>
    <row r="341" ht="16" customHeight="1">
      <c r="B341" s="58" t="inlineStr">
        <is>
          <t>Memberships &amp; subscriptions</t>
        </is>
      </c>
      <c r="C341" s="58" t="inlineStr">
        <is>
          <t>07/11/2026</t>
        </is>
      </c>
      <c r="D341" s="58" t="inlineStr">
        <is>
          <t>Expense</t>
        </is>
      </c>
      <c r="E341" s="58" t="inlineStr"/>
      <c r="F341" s="58" t="inlineStr"/>
      <c r="G341" s="58" t="inlineStr">
        <is>
          <t>PRIME VIDEO *P33WS3L888-802-3080        WA</t>
        </is>
      </c>
      <c r="H341" s="58" t="inlineStr">
        <is>
          <t>Amex CC</t>
        </is>
      </c>
      <c r="I341" s="59" t="n">
        <v>3.99</v>
      </c>
      <c r="J341" s="59" t="n">
        <v>186.66</v>
      </c>
      <c r="K341" s="60" t="inlineStr">
        <is>
          <t>MATCHED</t>
        </is>
      </c>
      <c r="L341" s="61" t="inlineStr">
        <is>
          <t>Matched to historical category: General business expenses:Memberships &amp; subscriptions</t>
        </is>
      </c>
    </row>
    <row r="342" ht="16" customHeight="1">
      <c r="A342" s="39" t="inlineStr">
        <is>
          <t>Total for Memberships &amp; subscriptions</t>
        </is>
      </c>
      <c r="I342" s="70">
        <f>I337+I338+I339+I340+I341</f>
        <v/>
      </c>
    </row>
    <row r="343" ht="16" customHeight="1">
      <c r="A343" s="37" t="inlineStr">
        <is>
          <t>Total for General business expenses with sub-accounts</t>
        </is>
      </c>
      <c r="I343" s="70">
        <f>I336+I342</f>
        <v/>
      </c>
    </row>
    <row r="344" ht="16" customHeight="1">
      <c r="A344" s="36" t="inlineStr">
        <is>
          <t>Immigration Expenses</t>
        </is>
      </c>
    </row>
    <row r="345" ht="16" customHeight="1">
      <c r="B345" s="26" t="inlineStr">
        <is>
          <t>Beginning Balance</t>
        </is>
      </c>
      <c r="J345" s="57" t="n">
        <v>730</v>
      </c>
    </row>
    <row r="346" ht="16" customHeight="1">
      <c r="B346" s="58" t="inlineStr">
        <is>
          <t>Immigration Expenses</t>
        </is>
      </c>
      <c r="C346" s="58" t="inlineStr">
        <is>
          <t>07/08/2026</t>
        </is>
      </c>
      <c r="D346" s="58" t="inlineStr">
        <is>
          <t>Expense</t>
        </is>
      </c>
      <c r="E346" s="58" t="inlineStr"/>
      <c r="F346" s="58" t="inlineStr">
        <is>
          <t>Global Immigration Partn</t>
        </is>
      </c>
      <c r="G346" s="58" t="inlineStr">
        <is>
          <t>GLOBALIMMIGRATIO DES:WEBPAYMENT ID: INDN:SNEHA DATLA CO ID:3383693141 WEB</t>
        </is>
      </c>
      <c r="H346" s="58" t="inlineStr">
        <is>
          <t>Bank of America</t>
        </is>
      </c>
      <c r="I346" s="59" t="n">
        <v>1200</v>
      </c>
      <c r="J346" s="59" t="n">
        <v>1930</v>
      </c>
      <c r="K346" s="60" t="inlineStr">
        <is>
          <t>MATCHED</t>
        </is>
      </c>
      <c r="L346" s="61" t="inlineStr">
        <is>
          <t>Matched to historical category: Immigration Expenses</t>
        </is>
      </c>
    </row>
    <row r="347" ht="16" customHeight="1">
      <c r="B347" s="58" t="inlineStr">
        <is>
          <t>Immigration Expenses</t>
        </is>
      </c>
      <c r="C347" s="58" t="inlineStr">
        <is>
          <t>07/29/2026</t>
        </is>
      </c>
      <c r="D347" s="58" t="inlineStr">
        <is>
          <t>Expense</t>
        </is>
      </c>
      <c r="E347" s="58" t="inlineStr"/>
      <c r="F347" s="58" t="inlineStr"/>
      <c r="G347" s="58" t="inlineStr">
        <is>
          <t>GLOBALIMMIGRATIO DES:WEBPAYMENT ID: INDN:SNEHA DATLA CO ID:3383693141 WEB</t>
        </is>
      </c>
      <c r="H347" s="58" t="inlineStr">
        <is>
          <t>Bank of America</t>
        </is>
      </c>
      <c r="I347" s="59" t="n">
        <v>3000</v>
      </c>
      <c r="J347" s="59" t="n">
        <v>4930</v>
      </c>
      <c r="K347" s="60" t="inlineStr">
        <is>
          <t>MATCHED</t>
        </is>
      </c>
      <c r="L347" s="61" t="inlineStr">
        <is>
          <t>Matched to historical category: Immigration Expenses</t>
        </is>
      </c>
    </row>
    <row r="348" ht="16" customHeight="1">
      <c r="A348" s="37" t="inlineStr">
        <is>
          <t>Total for Immigration Expenses</t>
        </is>
      </c>
      <c r="I348" s="70">
        <f>I345+I346+I347</f>
        <v/>
      </c>
    </row>
    <row r="349" ht="16" customHeight="1">
      <c r="A349" s="36" t="inlineStr">
        <is>
          <t>Insurance</t>
        </is>
      </c>
    </row>
    <row r="350" ht="16" customHeight="1">
      <c r="B350" s="26" t="inlineStr">
        <is>
          <t>Beginning Balance</t>
        </is>
      </c>
      <c r="J350" s="57" t="n">
        <v>6045.83</v>
      </c>
    </row>
    <row r="351" ht="16" customHeight="1">
      <c r="B351" s="58" t="inlineStr">
        <is>
          <t>Insurance</t>
        </is>
      </c>
      <c r="C351" s="58" t="inlineStr">
        <is>
          <t>07/11/2026</t>
        </is>
      </c>
      <c r="D351" s="58" t="inlineStr">
        <is>
          <t>Expense</t>
        </is>
      </c>
      <c r="E351" s="58" t="inlineStr"/>
      <c r="F351" s="58" t="inlineStr"/>
      <c r="G351" s="58" t="inlineStr">
        <is>
          <t>CSAA INSURANCE EXCHAWALNUT CREEK        CA</t>
        </is>
      </c>
      <c r="H351" s="58" t="inlineStr">
        <is>
          <t>Amex CC</t>
        </is>
      </c>
      <c r="I351" s="59" t="n">
        <v>206</v>
      </c>
      <c r="J351" s="59" t="n">
        <v>6251.83</v>
      </c>
      <c r="K351" s="60" t="inlineStr">
        <is>
          <t>MATCHED</t>
        </is>
      </c>
      <c r="L351" s="61" t="inlineStr">
        <is>
          <t>Matched to historical category: Insurance</t>
        </is>
      </c>
    </row>
    <row r="352" ht="16" customHeight="1">
      <c r="B352" s="58" t="inlineStr">
        <is>
          <t>Insurance</t>
        </is>
      </c>
      <c r="C352" s="58" t="inlineStr">
        <is>
          <t>07/11/2026</t>
        </is>
      </c>
      <c r="D352" s="58" t="inlineStr">
        <is>
          <t>Expense</t>
        </is>
      </c>
      <c r="E352" s="58" t="inlineStr"/>
      <c r="F352" s="58" t="inlineStr"/>
      <c r="G352" s="58" t="inlineStr">
        <is>
          <t>CSAA INSURANCE EXCHAWALNUT CREEK        CA</t>
        </is>
      </c>
      <c r="H352" s="58" t="inlineStr">
        <is>
          <t>Amex CC</t>
        </is>
      </c>
      <c r="I352" s="59" t="n">
        <v>646.83</v>
      </c>
      <c r="J352" s="59" t="n">
        <v>6898.66</v>
      </c>
      <c r="K352" s="60" t="inlineStr">
        <is>
          <t>MATCHED</t>
        </is>
      </c>
      <c r="L352" s="61" t="inlineStr">
        <is>
          <t>Matched to historical category: Insurance</t>
        </is>
      </c>
    </row>
    <row r="353" ht="16" customHeight="1">
      <c r="B353" s="58" t="inlineStr">
        <is>
          <t>Insurance</t>
        </is>
      </c>
      <c r="C353" s="58" t="inlineStr">
        <is>
          <t>07/23/2026</t>
        </is>
      </c>
      <c r="D353" s="58" t="inlineStr">
        <is>
          <t>Expense</t>
        </is>
      </c>
      <c r="E353" s="58" t="inlineStr"/>
      <c r="F353" s="58" t="inlineStr"/>
      <c r="G353" s="58" t="inlineStr">
        <is>
          <t>CSAA INSURANCE EXCHAWALNUT CREEK        CA</t>
        </is>
      </c>
      <c r="H353" s="58" t="inlineStr">
        <is>
          <t>Amex CC</t>
        </is>
      </c>
      <c r="I353" s="59" t="n">
        <v>269.59</v>
      </c>
      <c r="J353" s="59" t="n">
        <v>7168.25</v>
      </c>
      <c r="K353" s="60" t="inlineStr">
        <is>
          <t>MATCHED</t>
        </is>
      </c>
      <c r="L353" s="61" t="inlineStr">
        <is>
          <t>Matched to historical category: Insurance</t>
        </is>
      </c>
    </row>
    <row r="354" ht="16" customHeight="1">
      <c r="A354" s="37" t="inlineStr">
        <is>
          <t>Total for Insurance</t>
        </is>
      </c>
      <c r="I354" s="70">
        <f>I350+I351+I352+I353</f>
        <v/>
      </c>
    </row>
    <row r="355" ht="16" customHeight="1">
      <c r="A355" s="36" t="inlineStr">
        <is>
          <t>Interest paid</t>
        </is>
      </c>
    </row>
    <row r="356" ht="16" customHeight="1">
      <c r="B356" s="26" t="inlineStr">
        <is>
          <t>Beginning Balance</t>
        </is>
      </c>
      <c r="J356" s="57" t="n">
        <v>296.71</v>
      </c>
    </row>
    <row r="357" ht="16" customHeight="1">
      <c r="B357" s="58" t="inlineStr">
        <is>
          <t>Interest paid</t>
        </is>
      </c>
      <c r="C357" s="58" t="inlineStr">
        <is>
          <t>07/02/2026</t>
        </is>
      </c>
      <c r="D357" s="58" t="inlineStr">
        <is>
          <t>Expense</t>
        </is>
      </c>
      <c r="E357" s="58" t="inlineStr"/>
      <c r="F357" s="58" t="inlineStr"/>
      <c r="G357" s="58" t="inlineStr">
        <is>
          <t>Interest Charge on Pay Over Time Purchases</t>
        </is>
      </c>
      <c r="H357" s="58" t="inlineStr">
        <is>
          <t>Amex CC</t>
        </is>
      </c>
      <c r="I357" s="59" t="n">
        <v>175.89</v>
      </c>
      <c r="J357" s="59" t="n">
        <v>472.6</v>
      </c>
      <c r="K357" s="60" t="inlineStr">
        <is>
          <t>MATCHED</t>
        </is>
      </c>
      <c r="L357" s="61" t="inlineStr">
        <is>
          <t>Standard ledger entry</t>
        </is>
      </c>
    </row>
    <row r="358" ht="16" customHeight="1">
      <c r="B358" s="58" t="inlineStr">
        <is>
          <t>Interest paid</t>
        </is>
      </c>
      <c r="C358" s="58" t="inlineStr">
        <is>
          <t>07/03/2026</t>
        </is>
      </c>
      <c r="D358" s="58" t="inlineStr">
        <is>
          <t>Expense</t>
        </is>
      </c>
      <c r="E358" s="58" t="inlineStr"/>
      <c r="F358" s="58" t="inlineStr"/>
      <c r="G358" s="58" t="inlineStr">
        <is>
          <t>Finance Charge</t>
        </is>
      </c>
      <c r="H358" s="58" t="inlineStr">
        <is>
          <t>BOA CC</t>
        </is>
      </c>
      <c r="I358" s="59" t="n">
        <v>61.25</v>
      </c>
      <c r="J358" s="59" t="n">
        <v>533.8499999999999</v>
      </c>
      <c r="K358" s="60" t="inlineStr">
        <is>
          <t>MATCHED</t>
        </is>
      </c>
      <c r="L358" s="61" t="inlineStr">
        <is>
          <t>Standard ledger entry</t>
        </is>
      </c>
    </row>
    <row r="359" ht="16" customHeight="1">
      <c r="A359" s="37" t="inlineStr">
        <is>
          <t>Total for Interest paid</t>
        </is>
      </c>
      <c r="I359" s="70">
        <f>I356+I357+I358</f>
        <v/>
      </c>
    </row>
    <row r="360" ht="16" customHeight="1">
      <c r="A360" s="36" t="inlineStr">
        <is>
          <t>Meals &amp; Entertainment</t>
        </is>
      </c>
    </row>
    <row r="361" ht="16" customHeight="1">
      <c r="A361" s="38" t="inlineStr">
        <is>
          <t>Entertainment</t>
        </is>
      </c>
    </row>
    <row r="362" ht="16" customHeight="1">
      <c r="B362" s="26" t="inlineStr">
        <is>
          <t>Beginning Balance</t>
        </is>
      </c>
      <c r="J362" s="57" t="n">
        <v>226.91</v>
      </c>
    </row>
    <row r="363" ht="16" customHeight="1">
      <c r="B363" s="58" t="inlineStr">
        <is>
          <t>Entertainment</t>
        </is>
      </c>
      <c r="C363" s="58" t="inlineStr">
        <is>
          <t>07/03/2026</t>
        </is>
      </c>
      <c r="D363" s="58" t="inlineStr">
        <is>
          <t>Expense</t>
        </is>
      </c>
      <c r="E363" s="58" t="inlineStr"/>
      <c r="F363" s="58" t="inlineStr"/>
      <c r="G363" s="58" t="inlineStr">
        <is>
          <t>DD *DOORDASH HALALGYRO 8559731040 CA</t>
        </is>
      </c>
      <c r="H363" s="58" t="inlineStr">
        <is>
          <t>BOA CC</t>
        </is>
      </c>
      <c r="I363" s="59" t="n">
        <v>35.85</v>
      </c>
      <c r="J363" s="59" t="n">
        <v>262.76</v>
      </c>
      <c r="K363" s="60" t="inlineStr">
        <is>
          <t>MATCHED</t>
        </is>
      </c>
      <c r="L363" s="61" t="inlineStr">
        <is>
          <t>Matched to historical category: Meals &amp; Entertainment:Meals with clients</t>
        </is>
      </c>
    </row>
    <row r="364" ht="16" customHeight="1">
      <c r="B364" s="58" t="inlineStr">
        <is>
          <t>Entertainment</t>
        </is>
      </c>
      <c r="C364" s="58" t="inlineStr">
        <is>
          <t>07/06/2026</t>
        </is>
      </c>
      <c r="D364" s="58" t="inlineStr">
        <is>
          <t>Expense</t>
        </is>
      </c>
      <c r="E364" s="58" t="inlineStr"/>
      <c r="F364" s="58" t="inlineStr"/>
      <c r="G364" s="58" t="inlineStr">
        <is>
          <t>AplPay DFW TV5 STOREDALLAS              TX</t>
        </is>
      </c>
      <c r="H364" s="58" t="inlineStr">
        <is>
          <t>Amex CC</t>
        </is>
      </c>
      <c r="I364" s="59" t="n">
        <v>17.19</v>
      </c>
      <c r="J364" s="59" t="n">
        <v>279.95</v>
      </c>
      <c r="K364" s="60" t="inlineStr">
        <is>
          <t>MATCHED</t>
        </is>
      </c>
      <c r="L364" s="61" t="inlineStr">
        <is>
          <t>Standard ledger entry</t>
        </is>
      </c>
    </row>
    <row r="365" ht="16" customHeight="1">
      <c r="B365" s="58" t="inlineStr">
        <is>
          <t>Entertainment</t>
        </is>
      </c>
      <c r="C365" s="58" t="inlineStr">
        <is>
          <t>07/08/2026</t>
        </is>
      </c>
      <c r="D365" s="58" t="inlineStr">
        <is>
          <t>Expense</t>
        </is>
      </c>
      <c r="E365" s="58" t="inlineStr"/>
      <c r="F365" s="58" t="inlineStr"/>
      <c r="G365" s="58" t="inlineStr">
        <is>
          <t>CINEMARK            PLANO               TX</t>
        </is>
      </c>
      <c r="H365" s="58" t="inlineStr">
        <is>
          <t>Amex CC</t>
        </is>
      </c>
      <c r="I365" s="59" t="n">
        <v>12.99</v>
      </c>
      <c r="J365" s="59" t="n">
        <v>292.94</v>
      </c>
      <c r="K365" s="60" t="inlineStr">
        <is>
          <t>MATCHED</t>
        </is>
      </c>
      <c r="L365" s="61" t="inlineStr">
        <is>
          <t>Standard ledger entry</t>
        </is>
      </c>
    </row>
    <row r="366" ht="16" customHeight="1">
      <c r="B366" s="58" t="inlineStr">
        <is>
          <t>Entertainment</t>
        </is>
      </c>
      <c r="C366" s="58" t="inlineStr">
        <is>
          <t>07/09/2026</t>
        </is>
      </c>
      <c r="D366" s="58" t="inlineStr">
        <is>
          <t>Expense</t>
        </is>
      </c>
      <c r="E366" s="58" t="inlineStr"/>
      <c r="F366" s="58" t="inlineStr"/>
      <c r="G366" s="58" t="inlineStr">
        <is>
          <t>DD *DOORDASH MASALAREP 8559731040 CA</t>
        </is>
      </c>
      <c r="H366" s="58" t="inlineStr">
        <is>
          <t>BOA CC</t>
        </is>
      </c>
      <c r="I366" s="59" t="n">
        <v>27.41</v>
      </c>
      <c r="J366" s="59" t="n">
        <v>320.35</v>
      </c>
      <c r="K366" s="60" t="inlineStr">
        <is>
          <t>MATCHED</t>
        </is>
      </c>
      <c r="L366" s="61" t="inlineStr">
        <is>
          <t>Matched to historical category: Meals &amp; Entertainment:Meals with clients</t>
        </is>
      </c>
    </row>
    <row r="367" ht="16" customHeight="1">
      <c r="B367" s="58" t="inlineStr">
        <is>
          <t>Entertainment</t>
        </is>
      </c>
      <c r="C367" s="58" t="inlineStr">
        <is>
          <t>07/17/2026</t>
        </is>
      </c>
      <c r="D367" s="58" t="inlineStr">
        <is>
          <t>Expense</t>
        </is>
      </c>
      <c r="E367" s="58" t="inlineStr"/>
      <c r="F367" s="58" t="inlineStr"/>
      <c r="G367" s="58" t="inlineStr">
        <is>
          <t>DD *DOORDASH ANGRYCHIC 8559731040 CA</t>
        </is>
      </c>
      <c r="H367" s="58" t="inlineStr">
        <is>
          <t>BOA CC</t>
        </is>
      </c>
      <c r="I367" s="59" t="n">
        <v>26.1</v>
      </c>
      <c r="J367" s="59" t="n">
        <v>346.45</v>
      </c>
      <c r="K367" s="60" t="inlineStr">
        <is>
          <t>MATCHED</t>
        </is>
      </c>
      <c r="L367" s="61" t="inlineStr">
        <is>
          <t>Matched to historical category: Meals &amp; Entertainment:Meals with clients</t>
        </is>
      </c>
    </row>
    <row r="368" ht="16" customHeight="1">
      <c r="B368" s="58" t="inlineStr">
        <is>
          <t>Entertainment</t>
        </is>
      </c>
      <c r="C368" s="58" t="inlineStr">
        <is>
          <t>07/20/2026</t>
        </is>
      </c>
      <c r="D368" s="58" t="inlineStr">
        <is>
          <t>Expense</t>
        </is>
      </c>
      <c r="E368" s="58" t="inlineStr"/>
      <c r="F368" s="58" t="inlineStr"/>
      <c r="G368" s="58" t="inlineStr">
        <is>
          <t>DD *DOORDASH NAGASKITC 8559731040 CA</t>
        </is>
      </c>
      <c r="H368" s="58" t="inlineStr">
        <is>
          <t>BOA CC</t>
        </is>
      </c>
      <c r="I368" s="59" t="n">
        <v>31.21</v>
      </c>
      <c r="J368" s="59" t="n">
        <v>377.66</v>
      </c>
      <c r="K368" s="60" t="inlineStr">
        <is>
          <t>MATCHED</t>
        </is>
      </c>
      <c r="L368" s="61" t="inlineStr">
        <is>
          <t>Matched to historical category: Meals &amp; Entertainment:Meals with clients</t>
        </is>
      </c>
    </row>
    <row r="369" ht="16" customHeight="1">
      <c r="B369" s="58" t="inlineStr">
        <is>
          <t>Entertainment</t>
        </is>
      </c>
      <c r="C369" s="58" t="inlineStr">
        <is>
          <t>07/23/2026</t>
        </is>
      </c>
      <c r="D369" s="58" t="inlineStr">
        <is>
          <t>Expense</t>
        </is>
      </c>
      <c r="E369" s="58" t="inlineStr"/>
      <c r="F369" s="58" t="inlineStr"/>
      <c r="G369" s="58" t="inlineStr">
        <is>
          <t>DD *DOORDASH ULAVACHAR 8559731040 CA</t>
        </is>
      </c>
      <c r="H369" s="58" t="inlineStr">
        <is>
          <t>BOA CC</t>
        </is>
      </c>
      <c r="I369" s="59" t="n">
        <v>17.98</v>
      </c>
      <c r="J369" s="59" t="n">
        <v>395.64</v>
      </c>
      <c r="K369" s="60" t="inlineStr">
        <is>
          <t>MATCHED</t>
        </is>
      </c>
      <c r="L369" s="61" t="inlineStr">
        <is>
          <t>Matched to historical category: Meals &amp; Entertainment:Meals with clients</t>
        </is>
      </c>
    </row>
    <row r="370" ht="16" customHeight="1">
      <c r="B370" s="58" t="inlineStr">
        <is>
          <t>Entertainment</t>
        </is>
      </c>
      <c r="C370" s="58" t="inlineStr">
        <is>
          <t>07/26/2026</t>
        </is>
      </c>
      <c r="D370" s="58" t="inlineStr">
        <is>
          <t>Expense</t>
        </is>
      </c>
      <c r="E370" s="58" t="inlineStr"/>
      <c r="F370" s="58" t="inlineStr"/>
      <c r="G370" s="58" t="inlineStr">
        <is>
          <t>DD *DOORDASH DECCANMOR 8559731040 CA</t>
        </is>
      </c>
      <c r="H370" s="58" t="inlineStr">
        <is>
          <t>BOA CC</t>
        </is>
      </c>
      <c r="I370" s="59" t="n">
        <v>24.94</v>
      </c>
      <c r="J370" s="59" t="n">
        <v>420.58</v>
      </c>
      <c r="K370" s="60" t="inlineStr">
        <is>
          <t>MATCHED</t>
        </is>
      </c>
      <c r="L370" s="61" t="inlineStr">
        <is>
          <t>Matched to historical category: Meals &amp; Entertainment:Meals with clients</t>
        </is>
      </c>
    </row>
    <row r="371" ht="16" customHeight="1">
      <c r="B371" s="58" t="inlineStr">
        <is>
          <t>Entertainment</t>
        </is>
      </c>
      <c r="C371" s="58" t="inlineStr">
        <is>
          <t>07/29/2026</t>
        </is>
      </c>
      <c r="D371" s="58" t="inlineStr">
        <is>
          <t>Expense</t>
        </is>
      </c>
      <c r="E371" s="58" t="inlineStr"/>
      <c r="F371" s="58" t="inlineStr"/>
      <c r="G371" s="58" t="inlineStr">
        <is>
          <t>DD *DOORDASH DECCANMOR 8559731040 CA</t>
        </is>
      </c>
      <c r="H371" s="58" t="inlineStr">
        <is>
          <t>BOA CC</t>
        </is>
      </c>
      <c r="I371" s="59" t="n">
        <v>18.5</v>
      </c>
      <c r="J371" s="59" t="n">
        <v>439.08</v>
      </c>
      <c r="K371" s="60" t="inlineStr">
        <is>
          <t>MATCHED</t>
        </is>
      </c>
      <c r="L371" s="61" t="inlineStr">
        <is>
          <t>Matched to historical category: Meals &amp; Entertainment:Meals with clients</t>
        </is>
      </c>
    </row>
    <row r="372" ht="16" customHeight="1">
      <c r="A372" s="39" t="inlineStr">
        <is>
          <t>Total for Entertainment</t>
        </is>
      </c>
      <c r="I372" s="70">
        <f>I361+I362+I363+I364+I365+I366+I367+I368+I369+I370+I371</f>
        <v/>
      </c>
    </row>
    <row r="373" ht="16" customHeight="1">
      <c r="A373" s="38" t="inlineStr">
        <is>
          <t>Meals with clients</t>
        </is>
      </c>
    </row>
    <row r="374" ht="16" customHeight="1">
      <c r="B374" s="26" t="inlineStr">
        <is>
          <t>Beginning Balance</t>
        </is>
      </c>
      <c r="J374" s="57" t="n">
        <v>12121.47</v>
      </c>
    </row>
    <row r="375" ht="16" customHeight="1">
      <c r="B375" s="58" t="inlineStr">
        <is>
          <t>Meals with clients</t>
        </is>
      </c>
      <c r="C375" s="58" t="inlineStr">
        <is>
          <t>07/02/2026</t>
        </is>
      </c>
      <c r="D375" s="58" t="inlineStr">
        <is>
          <t>Expense</t>
        </is>
      </c>
      <c r="E375" s="58" t="inlineStr"/>
      <c r="F375" s="58" t="inlineStr"/>
      <c r="G375" s="58" t="inlineStr">
        <is>
          <t>DoorDash – Ulavacharu, CA</t>
        </is>
      </c>
      <c r="H375" s="58" t="inlineStr">
        <is>
          <t>BOA CC</t>
        </is>
      </c>
      <c r="I375" s="59" t="n">
        <v>34.21</v>
      </c>
      <c r="J375" s="59" t="n">
        <v>12155.68</v>
      </c>
      <c r="K375" s="60" t="inlineStr">
        <is>
          <t>MATCHED</t>
        </is>
      </c>
      <c r="L375" s="61" t="inlineStr">
        <is>
          <t>Matched to historical category: Meals &amp; Entertainment:Meals with clients</t>
        </is>
      </c>
    </row>
    <row r="376" ht="16" customHeight="1">
      <c r="B376" s="58" t="inlineStr">
        <is>
          <t>Meals with clients</t>
        </is>
      </c>
      <c r="C376" s="58" t="inlineStr">
        <is>
          <t>07/03/2026</t>
        </is>
      </c>
      <c r="D376" s="58" t="inlineStr">
        <is>
          <t>Expense</t>
        </is>
      </c>
      <c r="E376" s="58" t="inlineStr"/>
      <c r="F376" s="58" t="inlineStr"/>
      <c r="G376" s="58" t="inlineStr">
        <is>
          <t>DoorDash – Nagas Kitchen, CA</t>
        </is>
      </c>
      <c r="H376" s="58" t="inlineStr">
        <is>
          <t>BOA CC</t>
        </is>
      </c>
      <c r="I376" s="59" t="n">
        <v>121.09</v>
      </c>
      <c r="J376" s="59" t="n">
        <v>12276.77</v>
      </c>
      <c r="K376" s="60" t="inlineStr">
        <is>
          <t>MATCHED</t>
        </is>
      </c>
      <c r="L376" s="61" t="inlineStr">
        <is>
          <t>Matched to historical category: Meals &amp; Entertainment:Meals with clients</t>
        </is>
      </c>
    </row>
    <row r="377" ht="16" customHeight="1">
      <c r="B377" s="58" t="inlineStr">
        <is>
          <t>Meals with clients</t>
        </is>
      </c>
      <c r="C377" s="58" t="inlineStr">
        <is>
          <t>07/04/2026</t>
        </is>
      </c>
      <c r="D377" s="58" t="inlineStr">
        <is>
          <t>Expense</t>
        </is>
      </c>
      <c r="E377" s="58" t="inlineStr"/>
      <c r="F377" s="58" t="inlineStr"/>
      <c r="G377" s="58" t="inlineStr">
        <is>
          <t>DD *DOORDASH CHIPOTLEM 8559731040 CA</t>
        </is>
      </c>
      <c r="H377" s="58" t="inlineStr">
        <is>
          <t>BOA CC</t>
        </is>
      </c>
      <c r="I377" s="59" t="n">
        <v>25.78</v>
      </c>
      <c r="J377" s="59" t="n">
        <v>12302.55</v>
      </c>
      <c r="K377" s="60" t="inlineStr">
        <is>
          <t>MATCHED</t>
        </is>
      </c>
      <c r="L377" s="61" t="inlineStr">
        <is>
          <t>Matched to historical category: Meals &amp; Entertainment:Meals with clients</t>
        </is>
      </c>
    </row>
    <row r="378" ht="16" customHeight="1">
      <c r="B378" s="58" t="inlineStr">
        <is>
          <t>Meals with clients</t>
        </is>
      </c>
      <c r="C378" s="58" t="inlineStr">
        <is>
          <t>07/04/2026</t>
        </is>
      </c>
      <c r="D378" s="58" t="inlineStr">
        <is>
          <t>Expense</t>
        </is>
      </c>
      <c r="E378" s="58" t="inlineStr"/>
      <c r="F378" s="58" t="inlineStr"/>
      <c r="G378" s="58" t="inlineStr">
        <is>
          <t>TST* ROWDY COWBOY - THE COLONY          TX</t>
        </is>
      </c>
      <c r="H378" s="58" t="inlineStr">
        <is>
          <t>Amex CC</t>
        </is>
      </c>
      <c r="I378" s="59" t="n">
        <v>100.4</v>
      </c>
      <c r="J378" s="59" t="n">
        <v>12402.95</v>
      </c>
      <c r="K378" s="60" t="inlineStr">
        <is>
          <t>MATCHED</t>
        </is>
      </c>
      <c r="L378" s="61" t="inlineStr">
        <is>
          <t>Standard ledger entry</t>
        </is>
      </c>
    </row>
    <row r="379" ht="16" customHeight="1">
      <c r="B379" s="58" t="inlineStr">
        <is>
          <t>Meals with clients</t>
        </is>
      </c>
      <c r="C379" s="58" t="inlineStr">
        <is>
          <t>07/06/2026</t>
        </is>
      </c>
      <c r="D379" s="58" t="inlineStr">
        <is>
          <t>Expense</t>
        </is>
      </c>
      <c r="E379" s="58" t="inlineStr"/>
      <c r="F379" s="58" t="inlineStr"/>
      <c r="G379" s="58" t="inlineStr">
        <is>
          <t>UBER EATS           help.uber.com       CA</t>
        </is>
      </c>
      <c r="H379" s="58" t="inlineStr">
        <is>
          <t>Amex CC</t>
        </is>
      </c>
      <c r="I379" s="59" t="n">
        <v>94.91</v>
      </c>
      <c r="J379" s="59" t="n">
        <v>12497.86</v>
      </c>
      <c r="K379" s="60" t="inlineStr">
        <is>
          <t>MATCHED</t>
        </is>
      </c>
      <c r="L379" s="61" t="inlineStr">
        <is>
          <t>Matched to historical category: Meals &amp; Entertainment:Meals with clients</t>
        </is>
      </c>
    </row>
    <row r="380" ht="16" customHeight="1">
      <c r="B380" s="58" t="inlineStr">
        <is>
          <t>Meals with clients</t>
        </is>
      </c>
      <c r="C380" s="58" t="inlineStr">
        <is>
          <t>07/07/2026</t>
        </is>
      </c>
      <c r="D380" s="58" t="inlineStr">
        <is>
          <t>Expense</t>
        </is>
      </c>
      <c r="E380" s="58" t="inlineStr"/>
      <c r="F380" s="58" t="inlineStr"/>
      <c r="G380" s="58" t="inlineStr">
        <is>
          <t>AplPay MAQS         Wilmington          DE</t>
        </is>
      </c>
      <c r="H380" s="58" t="inlineStr">
        <is>
          <t>Amex CC</t>
        </is>
      </c>
      <c r="I380" s="59" t="n">
        <v>13</v>
      </c>
      <c r="J380" s="59" t="n">
        <v>12510.86</v>
      </c>
      <c r="K380" s="60" t="inlineStr">
        <is>
          <t>MATCHED</t>
        </is>
      </c>
      <c r="L380" s="61" t="inlineStr">
        <is>
          <t>Standard ledger entry</t>
        </is>
      </c>
    </row>
    <row r="381" ht="16" customHeight="1">
      <c r="B381" s="58" t="inlineStr">
        <is>
          <t>Meals with clients</t>
        </is>
      </c>
      <c r="C381" s="58" t="inlineStr">
        <is>
          <t>07/09/2026</t>
        </is>
      </c>
      <c r="D381" s="58" t="inlineStr">
        <is>
          <t>Expense</t>
        </is>
      </c>
      <c r="E381" s="58" t="inlineStr"/>
      <c r="F381" s="58" t="inlineStr"/>
      <c r="G381" s="58" t="inlineStr">
        <is>
          <t>AplPay AMK BLACKROCKWILMINGTON          DE</t>
        </is>
      </c>
      <c r="H381" s="58" t="inlineStr">
        <is>
          <t>Amex CC</t>
        </is>
      </c>
      <c r="I381" s="59" t="n">
        <v>3.59</v>
      </c>
      <c r="J381" s="59" t="n">
        <v>12514.45</v>
      </c>
      <c r="K381" s="60" t="inlineStr">
        <is>
          <t>MATCHED</t>
        </is>
      </c>
      <c r="L381" s="61" t="inlineStr">
        <is>
          <t>Standard ledger entry</t>
        </is>
      </c>
    </row>
    <row r="382" ht="16" customHeight="1">
      <c r="B382" s="58" t="inlineStr">
        <is>
          <t>Meals with clients</t>
        </is>
      </c>
      <c r="C382" s="58" t="inlineStr">
        <is>
          <t>07/10/2026</t>
        </is>
      </c>
      <c r="D382" s="58" t="inlineStr">
        <is>
          <t>Expense</t>
        </is>
      </c>
      <c r="E382" s="58" t="inlineStr"/>
      <c r="F382" s="58" t="inlineStr"/>
      <c r="G382" s="58" t="inlineStr">
        <is>
          <t>TST* CURED - 18TH ANCOLUMBIA            MD</t>
        </is>
      </c>
      <c r="H382" s="58" t="inlineStr">
        <is>
          <t>Amex CC</t>
        </is>
      </c>
      <c r="I382" s="59" t="n">
        <v>166.27</v>
      </c>
      <c r="J382" s="59" t="n">
        <v>12680.72</v>
      </c>
      <c r="K382" s="60" t="inlineStr">
        <is>
          <t>MATCHED</t>
        </is>
      </c>
      <c r="L382" s="61" t="inlineStr">
        <is>
          <t>Standard ledger entry</t>
        </is>
      </c>
    </row>
    <row r="383" ht="16" customHeight="1">
      <c r="B383" s="58" t="inlineStr">
        <is>
          <t>Meals with clients</t>
        </is>
      </c>
      <c r="C383" s="58" t="inlineStr">
        <is>
          <t>07/11/2026</t>
        </is>
      </c>
      <c r="D383" s="58" t="inlineStr">
        <is>
          <t>Expense</t>
        </is>
      </c>
      <c r="E383" s="58" t="inlineStr"/>
      <c r="F383" s="58" t="inlineStr"/>
      <c r="G383" s="58" t="inlineStr">
        <is>
          <t>AplPay TST* PITANGO BALTIMORE           MD</t>
        </is>
      </c>
      <c r="H383" s="58" t="inlineStr">
        <is>
          <t>Amex CC</t>
        </is>
      </c>
      <c r="I383" s="59" t="n">
        <v>21.18</v>
      </c>
      <c r="J383" s="59" t="n">
        <v>12701.9</v>
      </c>
      <c r="K383" s="60" t="inlineStr">
        <is>
          <t>MATCHED</t>
        </is>
      </c>
      <c r="L383" s="61" t="inlineStr">
        <is>
          <t>Standard ledger entry</t>
        </is>
      </c>
    </row>
    <row r="384" ht="16" customHeight="1">
      <c r="B384" s="58" t="inlineStr">
        <is>
          <t>Meals with clients</t>
        </is>
      </c>
      <c r="C384" s="58" t="inlineStr">
        <is>
          <t>07/11/2026</t>
        </is>
      </c>
      <c r="D384" s="58" t="inlineStr">
        <is>
          <t>Expense</t>
        </is>
      </c>
      <c r="E384" s="58" t="inlineStr"/>
      <c r="F384" s="58" t="inlineStr"/>
      <c r="G384" s="58" t="inlineStr">
        <is>
          <t>MAX'S TAPHOUSE      Baltimore           MD</t>
        </is>
      </c>
      <c r="H384" s="58" t="inlineStr">
        <is>
          <t>Amex CC</t>
        </is>
      </c>
      <c r="I384" s="59" t="n">
        <v>30.62</v>
      </c>
      <c r="J384" s="59" t="n">
        <v>12732.52</v>
      </c>
      <c r="K384" s="60" t="inlineStr">
        <is>
          <t>MATCHED</t>
        </is>
      </c>
      <c r="L384" s="61" t="inlineStr">
        <is>
          <t>Standard ledger entry</t>
        </is>
      </c>
    </row>
    <row r="385" ht="16" customHeight="1">
      <c r="B385" s="58" t="inlineStr">
        <is>
          <t>Meals with clients</t>
        </is>
      </c>
      <c r="C385" s="58" t="inlineStr">
        <is>
          <t>07/12/2026</t>
        </is>
      </c>
      <c r="D385" s="58" t="inlineStr">
        <is>
          <t>Expense</t>
        </is>
      </c>
      <c r="E385" s="58" t="inlineStr"/>
      <c r="F385" s="58" t="inlineStr"/>
      <c r="G385" s="58" t="inlineStr">
        <is>
          <t>TST* FOUR SISTERS CAROSEVILLE           CA</t>
        </is>
      </c>
      <c r="H385" s="58" t="inlineStr">
        <is>
          <t>Amex CC</t>
        </is>
      </c>
      <c r="I385" s="59" t="n">
        <v>163.49</v>
      </c>
      <c r="J385" s="59" t="n">
        <v>12896.01</v>
      </c>
      <c r="K385" s="60" t="inlineStr">
        <is>
          <t>MATCHED</t>
        </is>
      </c>
      <c r="L385" s="61" t="inlineStr">
        <is>
          <t>Standard ledger entry</t>
        </is>
      </c>
    </row>
    <row r="386" ht="16" customHeight="1">
      <c r="B386" s="58" t="inlineStr">
        <is>
          <t>Meals with clients</t>
        </is>
      </c>
      <c r="C386" s="58" t="inlineStr">
        <is>
          <t>07/12/2026</t>
        </is>
      </c>
      <c r="D386" s="58" t="inlineStr">
        <is>
          <t>Expense</t>
        </is>
      </c>
      <c r="E386" s="58" t="inlineStr"/>
      <c r="F386" s="58" t="inlineStr"/>
      <c r="G386" s="58" t="inlineStr">
        <is>
          <t>UBER EATS           help.uber.com       CA</t>
        </is>
      </c>
      <c r="H386" s="58" t="inlineStr">
        <is>
          <t>Amex CC</t>
        </is>
      </c>
      <c r="I386" s="59" t="n">
        <v>122.31</v>
      </c>
      <c r="J386" s="59" t="n">
        <v>13018.32</v>
      </c>
      <c r="K386" s="60" t="inlineStr">
        <is>
          <t>MATCHED</t>
        </is>
      </c>
      <c r="L386" s="61" t="inlineStr">
        <is>
          <t>Matched to historical category: Meals &amp; Entertainment:Meals with clients</t>
        </is>
      </c>
    </row>
    <row r="387" ht="16" customHeight="1">
      <c r="B387" s="58" t="inlineStr">
        <is>
          <t>Meals with clients</t>
        </is>
      </c>
      <c r="C387" s="58" t="inlineStr">
        <is>
          <t>07/13/2026</t>
        </is>
      </c>
      <c r="D387" s="58" t="inlineStr">
        <is>
          <t>Expense</t>
        </is>
      </c>
      <c r="E387" s="58" t="inlineStr"/>
      <c r="F387" s="58" t="inlineStr"/>
      <c r="G387" s="58" t="inlineStr">
        <is>
          <t>AplPay TODAYTIX, INCNEW YORK            NY</t>
        </is>
      </c>
      <c r="H387" s="58" t="inlineStr">
        <is>
          <t>Amex CC</t>
        </is>
      </c>
      <c r="I387" s="59" t="n">
        <v>187</v>
      </c>
      <c r="J387" s="59" t="n">
        <v>13205.32</v>
      </c>
      <c r="K387" s="60" t="inlineStr">
        <is>
          <t>MATCHED</t>
        </is>
      </c>
      <c r="L387" s="61" t="inlineStr">
        <is>
          <t>Standard ledger entry</t>
        </is>
      </c>
    </row>
    <row r="388" ht="16" customHeight="1">
      <c r="B388" s="58" t="inlineStr">
        <is>
          <t>Meals with clients</t>
        </is>
      </c>
      <c r="C388" s="58" t="inlineStr">
        <is>
          <t>07/15/2026</t>
        </is>
      </c>
      <c r="D388" s="58" t="inlineStr">
        <is>
          <t>Expense</t>
        </is>
      </c>
      <c r="E388" s="58" t="inlineStr"/>
      <c r="F388" s="58" t="inlineStr"/>
      <c r="G388" s="58" t="inlineStr">
        <is>
          <t>AplPay WHOLEFDS CCV GLEN MILLS          PA</t>
        </is>
      </c>
      <c r="H388" s="58" t="inlineStr">
        <is>
          <t>Amex CC</t>
        </is>
      </c>
      <c r="I388" s="59" t="n">
        <v>33.31</v>
      </c>
      <c r="J388" s="59" t="n">
        <v>13238.63</v>
      </c>
      <c r="K388" s="60" t="inlineStr">
        <is>
          <t>MATCHED</t>
        </is>
      </c>
      <c r="L388" s="61" t="inlineStr">
        <is>
          <t>Standard ledger entry</t>
        </is>
      </c>
    </row>
    <row r="389" ht="16" customHeight="1">
      <c r="B389" s="58" t="inlineStr">
        <is>
          <t>Meals with clients</t>
        </is>
      </c>
      <c r="C389" s="58" t="inlineStr">
        <is>
          <t>07/16/2026</t>
        </is>
      </c>
      <c r="D389" s="58" t="inlineStr">
        <is>
          <t>Expense</t>
        </is>
      </c>
      <c r="E389" s="58" t="inlineStr"/>
      <c r="F389" s="58" t="inlineStr"/>
      <c r="G389" s="58" t="inlineStr">
        <is>
          <t>GORDHAN THAL        EDISON              NJ</t>
        </is>
      </c>
      <c r="H389" s="58" t="inlineStr">
        <is>
          <t>Amex CC</t>
        </is>
      </c>
      <c r="I389" s="59" t="n">
        <v>84.62</v>
      </c>
      <c r="J389" s="59" t="n">
        <v>13323.25</v>
      </c>
      <c r="K389" s="60" t="inlineStr">
        <is>
          <t>MATCHED</t>
        </is>
      </c>
      <c r="L389" s="61" t="inlineStr">
        <is>
          <t>Standard ledger entry</t>
        </is>
      </c>
    </row>
    <row r="390" ht="16" customHeight="1">
      <c r="B390" s="58" t="inlineStr">
        <is>
          <t>Meals with clients</t>
        </is>
      </c>
      <c r="C390" s="58" t="inlineStr">
        <is>
          <t>07/18/2026</t>
        </is>
      </c>
      <c r="D390" s="58" t="inlineStr">
        <is>
          <t>Expense</t>
        </is>
      </c>
      <c r="E390" s="58" t="inlineStr"/>
      <c r="F390" s="58" t="inlineStr"/>
      <c r="G390" s="58" t="inlineStr">
        <is>
          <t>AplPay TST* TIKKA MANEWARK              DE</t>
        </is>
      </c>
      <c r="H390" s="58" t="inlineStr">
        <is>
          <t>Amex CC</t>
        </is>
      </c>
      <c r="I390" s="59" t="n">
        <v>32.98</v>
      </c>
      <c r="J390" s="59" t="n">
        <v>13356.23</v>
      </c>
      <c r="K390" s="60" t="inlineStr">
        <is>
          <t>MATCHED</t>
        </is>
      </c>
      <c r="L390" s="61" t="inlineStr">
        <is>
          <t>Standard ledger entry</t>
        </is>
      </c>
    </row>
    <row r="391" ht="16" customHeight="1">
      <c r="B391" s="58" t="inlineStr">
        <is>
          <t>Meals with clients</t>
        </is>
      </c>
      <c r="C391" s="58" t="inlineStr">
        <is>
          <t>07/19/2026</t>
        </is>
      </c>
      <c r="D391" s="58" t="inlineStr">
        <is>
          <t>Expense</t>
        </is>
      </c>
      <c r="E391" s="58" t="inlineStr"/>
      <c r="F391" s="58" t="inlineStr"/>
      <c r="G391" s="58" t="inlineStr">
        <is>
          <t>DOORDASH*07/18-2 ORDER 8559731040 CA</t>
        </is>
      </c>
      <c r="H391" s="58" t="inlineStr">
        <is>
          <t>BOA CC</t>
        </is>
      </c>
      <c r="I391" s="59" t="n">
        <v>90.44</v>
      </c>
      <c r="J391" s="59" t="n">
        <v>13446.67</v>
      </c>
      <c r="K391" s="60" t="inlineStr">
        <is>
          <t>MATCHED</t>
        </is>
      </c>
      <c r="L391" s="61" t="inlineStr">
        <is>
          <t>Matched to historical category: Meals &amp; Entertainment:Meals with clients</t>
        </is>
      </c>
    </row>
    <row r="392" ht="16" customHeight="1">
      <c r="B392" s="58" t="inlineStr">
        <is>
          <t>Meals with clients</t>
        </is>
      </c>
      <c r="C392" s="58" t="inlineStr">
        <is>
          <t>07/22/2026</t>
        </is>
      </c>
      <c r="D392" s="58" t="inlineStr">
        <is>
          <t>Expense</t>
        </is>
      </c>
      <c r="E392" s="58" t="inlineStr"/>
      <c r="F392" s="58" t="inlineStr"/>
      <c r="G392" s="58" t="inlineStr">
        <is>
          <t>AplPay ALDI 60213 21WILMINGTON          DE</t>
        </is>
      </c>
      <c r="H392" s="58" t="inlineStr">
        <is>
          <t>Amex CC</t>
        </is>
      </c>
      <c r="I392" s="59" t="n">
        <v>9.460000000000001</v>
      </c>
      <c r="J392" s="59" t="n">
        <v>13456.13</v>
      </c>
      <c r="K392" s="60" t="inlineStr">
        <is>
          <t>MATCHED</t>
        </is>
      </c>
      <c r="L392" s="61" t="inlineStr">
        <is>
          <t>Standard ledger entry</t>
        </is>
      </c>
    </row>
    <row r="393" ht="16" customHeight="1">
      <c r="B393" s="58" t="inlineStr">
        <is>
          <t>Meals with clients</t>
        </is>
      </c>
      <c r="C393" s="58" t="inlineStr">
        <is>
          <t>07/22/2026</t>
        </is>
      </c>
      <c r="D393" s="58" t="inlineStr">
        <is>
          <t>Expense</t>
        </is>
      </c>
      <c r="E393" s="58" t="inlineStr"/>
      <c r="F393" s="58" t="inlineStr"/>
      <c r="G393" s="58" t="inlineStr">
        <is>
          <t>AplPay PARIVAAR SUPENEW CASTLE          DE</t>
        </is>
      </c>
      <c r="H393" s="58" t="inlineStr">
        <is>
          <t>Amex CC</t>
        </is>
      </c>
      <c r="I393" s="59" t="n">
        <v>26.07</v>
      </c>
      <c r="J393" s="59" t="n">
        <v>13482.2</v>
      </c>
      <c r="K393" s="60" t="inlineStr">
        <is>
          <t>MATCHED</t>
        </is>
      </c>
      <c r="L393" s="61" t="inlineStr">
        <is>
          <t>Standard ledger entry</t>
        </is>
      </c>
    </row>
    <row r="394" ht="16" customHeight="1">
      <c r="B394" s="58" t="inlineStr">
        <is>
          <t>Meals with clients</t>
        </is>
      </c>
      <c r="C394" s="58" t="inlineStr">
        <is>
          <t>07/23/2026</t>
        </is>
      </c>
      <c r="D394" s="58" t="inlineStr">
        <is>
          <t>Expense</t>
        </is>
      </c>
      <c r="E394" s="58" t="inlineStr"/>
      <c r="F394" s="58" t="inlineStr"/>
      <c r="G394" s="58" t="inlineStr">
        <is>
          <t>GUMA GUMALU         FREMONT             CA</t>
        </is>
      </c>
      <c r="H394" s="58" t="inlineStr">
        <is>
          <t>Amex CC</t>
        </is>
      </c>
      <c r="I394" s="59" t="n">
        <v>150.11</v>
      </c>
      <c r="J394" s="59" t="n">
        <v>13632.31</v>
      </c>
      <c r="K394" s="60" t="inlineStr">
        <is>
          <t>MATCHED</t>
        </is>
      </c>
      <c r="L394" s="61" t="inlineStr">
        <is>
          <t>Standard ledger entry</t>
        </is>
      </c>
    </row>
    <row r="395" ht="16" customHeight="1">
      <c r="B395" s="58" t="inlineStr">
        <is>
          <t>Meals with clients</t>
        </is>
      </c>
      <c r="C395" s="58" t="inlineStr">
        <is>
          <t>07/24/2026</t>
        </is>
      </c>
      <c r="D395" s="58" t="inlineStr">
        <is>
          <t>Expense</t>
        </is>
      </c>
      <c r="E395" s="58" t="inlineStr"/>
      <c r="F395" s="58" t="inlineStr"/>
      <c r="G395" s="58" t="inlineStr">
        <is>
          <t>AplPay STARBUCKS STOWILMINGTON          DE</t>
        </is>
      </c>
      <c r="H395" s="58" t="inlineStr">
        <is>
          <t>Amex CC</t>
        </is>
      </c>
      <c r="I395" s="59" t="n">
        <v>8.5</v>
      </c>
      <c r="J395" s="59" t="n">
        <v>13640.81</v>
      </c>
      <c r="K395" s="60" t="inlineStr">
        <is>
          <t>MATCHED</t>
        </is>
      </c>
      <c r="L395" s="61" t="inlineStr">
        <is>
          <t>Standard ledger entry</t>
        </is>
      </c>
    </row>
    <row r="396" ht="16" customHeight="1">
      <c r="B396" s="58" t="inlineStr">
        <is>
          <t>Meals with clients</t>
        </is>
      </c>
      <c r="C396" s="58" t="inlineStr">
        <is>
          <t>07/24/2026</t>
        </is>
      </c>
      <c r="D396" s="58" t="inlineStr">
        <is>
          <t>Expense</t>
        </is>
      </c>
      <c r="E396" s="58" t="inlineStr"/>
      <c r="F396" s="58" t="inlineStr"/>
      <c r="G396" s="58" t="inlineStr">
        <is>
          <t>SANGAM FINE INDIAN CWILMINGTON          DE</t>
        </is>
      </c>
      <c r="H396" s="58" t="inlineStr">
        <is>
          <t>Amex CC</t>
        </is>
      </c>
      <c r="I396" s="59" t="n">
        <v>52</v>
      </c>
      <c r="J396" s="59" t="n">
        <v>13692.81</v>
      </c>
      <c r="K396" s="60" t="inlineStr">
        <is>
          <t>MATCHED</t>
        </is>
      </c>
      <c r="L396" s="61" t="inlineStr">
        <is>
          <t>Standard ledger entry</t>
        </is>
      </c>
    </row>
    <row r="397" ht="16" customHeight="1">
      <c r="B397" s="58" t="inlineStr">
        <is>
          <t>Meals with clients</t>
        </is>
      </c>
      <c r="C397" s="58" t="inlineStr">
        <is>
          <t>07/25/2026</t>
        </is>
      </c>
      <c r="D397" s="58" t="inlineStr">
        <is>
          <t>Expense</t>
        </is>
      </c>
      <c r="E397" s="58" t="inlineStr"/>
      <c r="F397" s="58" t="inlineStr"/>
      <c r="G397" s="58" t="inlineStr">
        <is>
          <t>AplPay TST* PURE ROOWILMINGTON          DE</t>
        </is>
      </c>
      <c r="H397" s="58" t="inlineStr">
        <is>
          <t>Amex CC</t>
        </is>
      </c>
      <c r="I397" s="59" t="n">
        <v>11.45</v>
      </c>
      <c r="J397" s="59" t="n">
        <v>13704.26</v>
      </c>
      <c r="K397" s="60" t="inlineStr">
        <is>
          <t>MATCHED</t>
        </is>
      </c>
      <c r="L397" s="61" t="inlineStr">
        <is>
          <t>Standard ledger entry</t>
        </is>
      </c>
    </row>
    <row r="398" ht="16" customHeight="1">
      <c r="B398" s="58" t="inlineStr">
        <is>
          <t>Meals with clients</t>
        </is>
      </c>
      <c r="C398" s="58" t="inlineStr">
        <is>
          <t>07/26/2026</t>
        </is>
      </c>
      <c r="D398" s="58" t="inlineStr">
        <is>
          <t>Expense</t>
        </is>
      </c>
      <c r="E398" s="58" t="inlineStr"/>
      <c r="F398" s="58" t="inlineStr"/>
      <c r="G398" s="58" t="inlineStr">
        <is>
          <t>CLUB 28 BADMINTON DELE 9176316713 DE</t>
        </is>
      </c>
      <c r="H398" s="58" t="inlineStr">
        <is>
          <t>BOA CC</t>
        </is>
      </c>
      <c r="I398" s="59" t="n">
        <v>140</v>
      </c>
      <c r="J398" s="59" t="n">
        <v>13844.26</v>
      </c>
      <c r="K398" s="60" t="inlineStr">
        <is>
          <t>MATCHED</t>
        </is>
      </c>
      <c r="L398" s="61" t="inlineStr">
        <is>
          <t>Matched to historical category: Meals &amp; Entertainment:Meals with clients</t>
        </is>
      </c>
    </row>
    <row r="399" ht="16" customHeight="1">
      <c r="B399" s="58" t="inlineStr">
        <is>
          <t>Meals with clients</t>
        </is>
      </c>
      <c r="C399" s="58" t="inlineStr">
        <is>
          <t>07/28/2026</t>
        </is>
      </c>
      <c r="D399" s="58" t="inlineStr">
        <is>
          <t>Expense</t>
        </is>
      </c>
      <c r="E399" s="58" t="inlineStr"/>
      <c r="F399" s="58" t="inlineStr"/>
      <c r="G399" s="58" t="inlineStr">
        <is>
          <t>AplPay DCG DELAWARE MIDDLETOWN          DE</t>
        </is>
      </c>
      <c r="H399" s="58" t="inlineStr">
        <is>
          <t>Amex CC</t>
        </is>
      </c>
      <c r="I399" s="59" t="n">
        <v>24.72</v>
      </c>
      <c r="J399" s="59" t="n">
        <v>13868.98</v>
      </c>
      <c r="K399" s="60" t="inlineStr">
        <is>
          <t>MATCHED</t>
        </is>
      </c>
      <c r="L399" s="61" t="inlineStr">
        <is>
          <t>Standard ledger entry</t>
        </is>
      </c>
    </row>
    <row r="400" ht="16" customHeight="1">
      <c r="B400" s="58" t="inlineStr">
        <is>
          <t>Meals with clients</t>
        </is>
      </c>
      <c r="C400" s="58" t="inlineStr">
        <is>
          <t>07/28/2026</t>
        </is>
      </c>
      <c r="D400" s="58" t="inlineStr">
        <is>
          <t>Expense</t>
        </is>
      </c>
      <c r="E400" s="58" t="inlineStr"/>
      <c r="F400" s="58" t="inlineStr"/>
      <c r="G400" s="58" t="inlineStr">
        <is>
          <t>AplPay WONDER       NEW YORK            NY</t>
        </is>
      </c>
      <c r="H400" s="58" t="inlineStr">
        <is>
          <t>Amex CC</t>
        </is>
      </c>
      <c r="I400" s="59" t="n">
        <v>12.45</v>
      </c>
      <c r="J400" s="59" t="n">
        <v>13881.43</v>
      </c>
      <c r="K400" s="60" t="inlineStr">
        <is>
          <t>MATCHED</t>
        </is>
      </c>
      <c r="L400" s="61" t="inlineStr">
        <is>
          <t>Standard ledger entry</t>
        </is>
      </c>
    </row>
    <row r="401" ht="16" customHeight="1">
      <c r="A401" s="39" t="inlineStr">
        <is>
          <t>Total for Meals with clients</t>
        </is>
      </c>
      <c r="I401" s="70">
        <f>I373+I374+I375+I376+I377+I378+I379+I380+I381+I382+I383+I384+I385+I386+I387+I388+I389+I390+I391+I392+I393+I394+I395+I396+I397+I398+I399+I400</f>
        <v/>
      </c>
    </row>
    <row r="402" ht="16" customHeight="1">
      <c r="A402" s="37" t="inlineStr">
        <is>
          <t>Total for Meals &amp; Entertainment with sub-accounts</t>
        </is>
      </c>
      <c r="I402" s="70">
        <f>I372+I401</f>
        <v/>
      </c>
    </row>
    <row r="403" ht="16" customHeight="1">
      <c r="A403" s="36" t="inlineStr">
        <is>
          <t>Office expenses</t>
        </is>
      </c>
    </row>
    <row r="404" ht="16" customHeight="1">
      <c r="A404" s="38" t="inlineStr">
        <is>
          <t>Office supplies</t>
        </is>
      </c>
    </row>
    <row r="405" ht="16" customHeight="1">
      <c r="B405" s="26" t="inlineStr">
        <is>
          <t>Beginning Balance</t>
        </is>
      </c>
      <c r="J405" s="57" t="n">
        <v>3637.98</v>
      </c>
    </row>
    <row r="406" ht="16" customHeight="1">
      <c r="B406" s="71" t="inlineStr">
        <is>
          <t>Office supplies</t>
        </is>
      </c>
      <c r="C406" s="71" t="inlineStr">
        <is>
          <t>07/10/2026</t>
        </is>
      </c>
      <c r="D406" s="71" t="inlineStr">
        <is>
          <t>Expense</t>
        </is>
      </c>
      <c r="E406" s="71" t="inlineStr"/>
      <c r="F406" s="71" t="inlineStr"/>
      <c r="G406" s="71" t="inlineStr">
        <is>
          <t>PY *BANNER PEST SERVSAN JOSE            CA</t>
        </is>
      </c>
      <c r="H406" s="71" t="inlineStr">
        <is>
          <t>Amex CC</t>
        </is>
      </c>
      <c r="I406" s="72" t="n">
        <v>150</v>
      </c>
      <c r="J406" s="72" t="n">
        <v>3787.98</v>
      </c>
      <c r="K406" s="73" t="inlineStr">
        <is>
          <t>CATEGORY MISMATCH</t>
        </is>
      </c>
      <c r="L406" s="74" t="inlineStr">
        <is>
          <t>Expected 'Repairs &amp; maintenance', found 'Office supplies'.</t>
        </is>
      </c>
    </row>
    <row r="407" ht="16" customHeight="1">
      <c r="B407" s="58" t="inlineStr">
        <is>
          <t>Office supplies</t>
        </is>
      </c>
      <c r="C407" s="58" t="inlineStr">
        <is>
          <t>07/14/2026</t>
        </is>
      </c>
      <c r="D407" s="58" t="inlineStr">
        <is>
          <t>Expense</t>
        </is>
      </c>
      <c r="E407" s="58" t="inlineStr"/>
      <c r="F407" s="58" t="inlineStr"/>
      <c r="G407" s="58" t="inlineStr">
        <is>
          <t>AMAZON PRIME*TT4297FR3 8882804331 WA</t>
        </is>
      </c>
      <c r="H407" s="58" t="inlineStr">
        <is>
          <t>BOA CC</t>
        </is>
      </c>
      <c r="I407" s="59" t="n">
        <v>7.58</v>
      </c>
      <c r="J407" s="59" t="n">
        <v>3795.56</v>
      </c>
      <c r="K407" s="60" t="inlineStr">
        <is>
          <t>MATCHED</t>
        </is>
      </c>
      <c r="L407" s="61" t="inlineStr">
        <is>
          <t>Matched to historical category: Office expenses:Office supplies</t>
        </is>
      </c>
    </row>
    <row r="408" ht="16" customHeight="1">
      <c r="B408" s="58" t="inlineStr">
        <is>
          <t>Office supplies</t>
        </is>
      </c>
      <c r="C408" s="58" t="inlineStr">
        <is>
          <t>07/15/2026</t>
        </is>
      </c>
      <c r="D408" s="58" t="inlineStr">
        <is>
          <t>Expense</t>
        </is>
      </c>
      <c r="E408" s="58" t="inlineStr"/>
      <c r="F408" s="58" t="inlineStr"/>
      <c r="G408" s="58" t="inlineStr">
        <is>
          <t>AMAZON DIGI* JU6R40EU3 SEATTLE WA</t>
        </is>
      </c>
      <c r="H408" s="58" t="inlineStr">
        <is>
          <t>BOA CC</t>
        </is>
      </c>
      <c r="I408" s="59" t="n">
        <v>5.66</v>
      </c>
      <c r="J408" s="59" t="n">
        <v>3801.22</v>
      </c>
      <c r="K408" s="60" t="inlineStr">
        <is>
          <t>MATCHED</t>
        </is>
      </c>
      <c r="L408" s="61" t="inlineStr">
        <is>
          <t>Matched to historical category: Office expenses:Office supplies</t>
        </is>
      </c>
    </row>
    <row r="409" ht="16" customHeight="1">
      <c r="B409" s="58" t="inlineStr">
        <is>
          <t>Office supplies</t>
        </is>
      </c>
      <c r="C409" s="58" t="inlineStr">
        <is>
          <t>07/23/2026</t>
        </is>
      </c>
      <c r="D409" s="58" t="inlineStr">
        <is>
          <t>Expense</t>
        </is>
      </c>
      <c r="E409" s="58" t="inlineStr"/>
      <c r="F409" s="58" t="inlineStr"/>
      <c r="G409" s="58" t="inlineStr">
        <is>
          <t>HP INSTANT INK DELIV855-785-2777        CA</t>
        </is>
      </c>
      <c r="H409" s="58" t="inlineStr">
        <is>
          <t>Amex CC</t>
        </is>
      </c>
      <c r="I409" s="59" t="n">
        <v>8.81</v>
      </c>
      <c r="J409" s="59" t="n">
        <v>3810.03</v>
      </c>
      <c r="K409" s="60" t="inlineStr">
        <is>
          <t>MATCHED</t>
        </is>
      </c>
      <c r="L409" s="61" t="inlineStr">
        <is>
          <t>Matched to historical category: Office expenses:Office supplies</t>
        </is>
      </c>
    </row>
    <row r="410" ht="16" customHeight="1">
      <c r="A410" s="39" t="inlineStr">
        <is>
          <t>Total for Office supplies</t>
        </is>
      </c>
      <c r="I410" s="70">
        <f>I404+I405+I406+I407+I408+I409</f>
        <v/>
      </c>
    </row>
    <row r="411" ht="16" customHeight="1">
      <c r="A411" s="38" t="inlineStr">
        <is>
          <t>Small tools &amp; equipment</t>
        </is>
      </c>
    </row>
    <row r="412" ht="16" customHeight="1">
      <c r="B412" s="26" t="inlineStr">
        <is>
          <t>Beginning Balance</t>
        </is>
      </c>
      <c r="J412" s="57" t="n">
        <v>529.1900000000001</v>
      </c>
    </row>
    <row r="413" ht="16" customHeight="1">
      <c r="A413" s="39" t="inlineStr">
        <is>
          <t>Total for Small tools &amp; equipment</t>
        </is>
      </c>
      <c r="I413" s="70">
        <f>I411+I412</f>
        <v/>
      </c>
    </row>
    <row r="414" ht="16" customHeight="1">
      <c r="A414" s="38" t="inlineStr">
        <is>
          <t>Software &amp; apps</t>
        </is>
      </c>
    </row>
    <row r="415" ht="16" customHeight="1">
      <c r="B415" s="26" t="inlineStr">
        <is>
          <t>Beginning Balance</t>
        </is>
      </c>
      <c r="J415" s="57" t="n">
        <v>2245.94</v>
      </c>
    </row>
    <row r="416" ht="16" customHeight="1">
      <c r="B416" s="58" t="inlineStr">
        <is>
          <t>Software &amp; apps</t>
        </is>
      </c>
      <c r="C416" s="58" t="inlineStr">
        <is>
          <t>07/02/2026</t>
        </is>
      </c>
      <c r="D416" s="58" t="inlineStr">
        <is>
          <t>Expense</t>
        </is>
      </c>
      <c r="E416" s="58" t="inlineStr"/>
      <c r="F416" s="58" t="inlineStr"/>
      <c r="G416" s="58" t="inlineStr">
        <is>
          <t>Google Workspace (Virt Solutions), CA</t>
        </is>
      </c>
      <c r="H416" s="58" t="inlineStr">
        <is>
          <t>BOA CC</t>
        </is>
      </c>
      <c r="I416" s="59" t="n">
        <v>411.84</v>
      </c>
      <c r="J416" s="59" t="n">
        <v>2657.78</v>
      </c>
      <c r="K416" s="60" t="inlineStr">
        <is>
          <t>MATCHED</t>
        </is>
      </c>
      <c r="L416" s="61" t="inlineStr">
        <is>
          <t>Matched to historical category: Office expenses:Software &amp; apps</t>
        </is>
      </c>
    </row>
    <row r="417" ht="16" customHeight="1">
      <c r="B417" s="58" t="inlineStr">
        <is>
          <t>Software &amp; apps</t>
        </is>
      </c>
      <c r="C417" s="58" t="inlineStr">
        <is>
          <t>07/07/2026</t>
        </is>
      </c>
      <c r="D417" s="58" t="inlineStr">
        <is>
          <t>Expense</t>
        </is>
      </c>
      <c r="E417" s="58" t="inlineStr"/>
      <c r="F417" s="58" t="inlineStr"/>
      <c r="G417" s="58" t="inlineStr">
        <is>
          <t>Microsoft*Microsoft 36 8006427676 WA</t>
        </is>
      </c>
      <c r="H417" s="58" t="inlineStr">
        <is>
          <t>BOA CC</t>
        </is>
      </c>
      <c r="I417" s="59" t="n">
        <v>129.99</v>
      </c>
      <c r="J417" s="59" t="n">
        <v>2787.77</v>
      </c>
      <c r="K417" s="60" t="inlineStr">
        <is>
          <t>MATCHED</t>
        </is>
      </c>
      <c r="L417" s="61" t="inlineStr">
        <is>
          <t>Matched to historical category: Office expenses:Software &amp; apps</t>
        </is>
      </c>
    </row>
    <row r="418" ht="16" customHeight="1">
      <c r="B418" s="58" t="inlineStr">
        <is>
          <t>Software &amp; apps</t>
        </is>
      </c>
      <c r="C418" s="58" t="inlineStr">
        <is>
          <t>07/16/2026</t>
        </is>
      </c>
      <c r="D418" s="58" t="inlineStr">
        <is>
          <t>Expense</t>
        </is>
      </c>
      <c r="E418" s="58" t="inlineStr"/>
      <c r="F418" s="58" t="inlineStr"/>
      <c r="G418" s="58" t="inlineStr">
        <is>
          <t>ANTHROPIC* CLAUDE SUSAN FRANCISCO       CA</t>
        </is>
      </c>
      <c r="H418" s="58" t="inlineStr">
        <is>
          <t>Amex CC</t>
        </is>
      </c>
      <c r="I418" s="59" t="n">
        <v>20</v>
      </c>
      <c r="J418" s="59" t="n">
        <v>2807.77</v>
      </c>
      <c r="K418" s="60" t="inlineStr">
        <is>
          <t>MATCHED</t>
        </is>
      </c>
      <c r="L418" s="61" t="inlineStr">
        <is>
          <t>Matched to historical category: Office expenses:Software &amp; apps</t>
        </is>
      </c>
    </row>
    <row r="419" ht="16" customHeight="1">
      <c r="B419" s="58" t="inlineStr">
        <is>
          <t>Software &amp; apps</t>
        </is>
      </c>
      <c r="C419" s="58" t="inlineStr">
        <is>
          <t>07/27/2026</t>
        </is>
      </c>
      <c r="D419" s="58" t="inlineStr">
        <is>
          <t>Expense</t>
        </is>
      </c>
      <c r="E419" s="58" t="inlineStr"/>
      <c r="F419" s="58" t="inlineStr"/>
      <c r="G419" s="58" t="inlineStr">
        <is>
          <t>LINKEDIN*P3060481887MOUNTAIN VIEW</t>
        </is>
      </c>
      <c r="H419" s="58" t="inlineStr">
        <is>
          <t>Amex CC</t>
        </is>
      </c>
      <c r="I419" s="59" t="n">
        <v>272.17</v>
      </c>
      <c r="J419" s="59" t="n">
        <v>3079.940000000001</v>
      </c>
      <c r="K419" s="60" t="inlineStr">
        <is>
          <t>MATCHED</t>
        </is>
      </c>
      <c r="L419" s="61" t="inlineStr">
        <is>
          <t>Matched to historical category: Office expenses:Software &amp; apps</t>
        </is>
      </c>
    </row>
    <row r="420" ht="16" customHeight="1">
      <c r="A420" s="39" t="inlineStr">
        <is>
          <t>Total for Software &amp; apps</t>
        </is>
      </c>
      <c r="I420" s="70">
        <f>I414+I415+I416+I417+I418+I419</f>
        <v/>
      </c>
    </row>
    <row r="421" ht="16" customHeight="1">
      <c r="A421" s="37" t="inlineStr">
        <is>
          <t>Total for Office expenses with sub-accounts</t>
        </is>
      </c>
      <c r="I421" s="70">
        <f>I410+I413+I420</f>
        <v/>
      </c>
    </row>
    <row r="422" ht="16" customHeight="1">
      <c r="A422" s="36" t="inlineStr">
        <is>
          <t>Payroll expenses</t>
        </is>
      </c>
    </row>
    <row r="423" ht="16" customHeight="1">
      <c r="A423" s="38" t="inlineStr">
        <is>
          <t>Payroll Processing Fee</t>
        </is>
      </c>
    </row>
    <row r="424" ht="16" customHeight="1">
      <c r="B424" s="26" t="inlineStr">
        <is>
          <t>Beginning Balance</t>
        </is>
      </c>
      <c r="J424" s="57" t="n">
        <v>2392.94</v>
      </c>
    </row>
    <row r="425" ht="16" customHeight="1">
      <c r="B425" s="58" t="inlineStr">
        <is>
          <t>Payroll Processing Fee</t>
        </is>
      </c>
      <c r="C425" s="58" t="inlineStr">
        <is>
          <t>07/03/2026</t>
        </is>
      </c>
      <c r="D425" s="58" t="inlineStr">
        <is>
          <t>Expense</t>
        </is>
      </c>
      <c r="E425" s="58" t="inlineStr"/>
      <c r="F425" s="58" t="inlineStr"/>
      <c r="G425" s="58" t="inlineStr">
        <is>
          <t>ADP PAYROLL FEES DES:ADP FEES ID:943439543612 INDN:724551477VIRTUSSOLUTIO CO ID:9659605001 CCD</t>
        </is>
      </c>
      <c r="H425" s="58" t="inlineStr">
        <is>
          <t>Bank of America</t>
        </is>
      </c>
      <c r="I425" s="59" t="n">
        <v>280</v>
      </c>
      <c r="J425" s="59" t="n">
        <v>2672.94</v>
      </c>
      <c r="K425" s="60" t="inlineStr">
        <is>
          <t>MATCHED</t>
        </is>
      </c>
      <c r="L425" s="61" t="inlineStr">
        <is>
          <t>Matched to historical category: Payroll expenses:Payroll Processing Fee</t>
        </is>
      </c>
    </row>
    <row r="426" ht="16" customHeight="1">
      <c r="B426" s="58" t="inlineStr">
        <is>
          <t>Payroll Processing Fee</t>
        </is>
      </c>
      <c r="C426" s="58" t="inlineStr">
        <is>
          <t>07/03/2026</t>
        </is>
      </c>
      <c r="D426" s="58" t="inlineStr">
        <is>
          <t>Expense</t>
        </is>
      </c>
      <c r="E426" s="58" t="inlineStr"/>
      <c r="F426" s="58" t="inlineStr"/>
      <c r="G426" s="58" t="inlineStr">
        <is>
          <t>ADP PAYROLL FEES DES:ADP FEES ID:943439543613 INDN:724540323VIRTUSSOLUTIO CO ID:9659605001 CCD</t>
        </is>
      </c>
      <c r="H426" s="58" t="inlineStr">
        <is>
          <t>Bank of America</t>
        </is>
      </c>
      <c r="I426" s="59" t="n">
        <v>219.56</v>
      </c>
      <c r="J426" s="59" t="n">
        <v>2892.5</v>
      </c>
      <c r="K426" s="60" t="inlineStr">
        <is>
          <t>MATCHED</t>
        </is>
      </c>
      <c r="L426" s="61" t="inlineStr">
        <is>
          <t>Matched to historical category: Payroll expenses:Payroll Processing Fee</t>
        </is>
      </c>
    </row>
    <row r="427" ht="16" customHeight="1">
      <c r="B427" s="58" t="inlineStr">
        <is>
          <t>Payroll Processing Fee</t>
        </is>
      </c>
      <c r="C427" s="58" t="inlineStr">
        <is>
          <t>07/24/2026</t>
        </is>
      </c>
      <c r="D427" s="58" t="inlineStr">
        <is>
          <t>Expense</t>
        </is>
      </c>
      <c r="E427" s="58" t="inlineStr"/>
      <c r="F427" s="58" t="inlineStr"/>
      <c r="G427" s="58" t="inlineStr">
        <is>
          <t>ADP PAYROLL FEES DES:ADP FEES ID:925744100480 INDN:726243267VIRTUSSOLUTIO CO ID:9659605001 CCD</t>
        </is>
      </c>
      <c r="H427" s="58" t="inlineStr">
        <is>
          <t>Bank of America</t>
        </is>
      </c>
      <c r="I427" s="59" t="n">
        <v>296.3</v>
      </c>
      <c r="J427" s="59" t="n">
        <v>3188.8</v>
      </c>
      <c r="K427" s="60" t="inlineStr">
        <is>
          <t>MATCHED</t>
        </is>
      </c>
      <c r="L427" s="61" t="inlineStr">
        <is>
          <t>Matched to historical category: Payroll expenses:Payroll Processing Fee</t>
        </is>
      </c>
    </row>
    <row r="428" ht="16" customHeight="1">
      <c r="B428" s="58" t="inlineStr">
        <is>
          <t>Payroll Processing Fee</t>
        </is>
      </c>
      <c r="C428" s="58" t="inlineStr">
        <is>
          <t>07/31/2026</t>
        </is>
      </c>
      <c r="D428" s="58" t="inlineStr">
        <is>
          <t>Expense</t>
        </is>
      </c>
      <c r="E428" s="58" t="inlineStr"/>
      <c r="F428" s="58" t="inlineStr"/>
      <c r="G428" s="58" t="inlineStr">
        <is>
          <t>ADP PAYROLL FEES DES:ADP FEES ID:776105318266 INDN:726848210VIRTUSSOLUTIO CO ID:9659605001 CCD</t>
        </is>
      </c>
      <c r="H428" s="58" t="inlineStr">
        <is>
          <t>Bank of America</t>
        </is>
      </c>
      <c r="I428" s="59" t="n">
        <v>280</v>
      </c>
      <c r="J428" s="59" t="n">
        <v>3468.8</v>
      </c>
      <c r="K428" s="60" t="inlineStr">
        <is>
          <t>MATCHED</t>
        </is>
      </c>
      <c r="L428" s="61" t="inlineStr">
        <is>
          <t>Matched to historical category: Payroll expenses:Payroll Processing Fee</t>
        </is>
      </c>
    </row>
    <row r="429" ht="16" customHeight="1">
      <c r="B429" s="58" t="inlineStr">
        <is>
          <t>Payroll Processing Fee</t>
        </is>
      </c>
      <c r="C429" s="58" t="inlineStr">
        <is>
          <t>07/31/2026</t>
        </is>
      </c>
      <c r="D429" s="58" t="inlineStr">
        <is>
          <t>Expense</t>
        </is>
      </c>
      <c r="E429" s="58" t="inlineStr"/>
      <c r="F429" s="58" t="inlineStr"/>
      <c r="G429" s="58" t="inlineStr">
        <is>
          <t>ADP PAYROLL FEES DES:ADP FEES ID:776105318267 INDN:726850615VIRTUSSOLUTIO CO ID:9659605001 CCD</t>
        </is>
      </c>
      <c r="H429" s="58" t="inlineStr">
        <is>
          <t>Bank of America</t>
        </is>
      </c>
      <c r="I429" s="59" t="n">
        <v>191.77</v>
      </c>
      <c r="J429" s="59" t="n">
        <v>3660.57</v>
      </c>
      <c r="K429" s="60" t="inlineStr">
        <is>
          <t>MATCHED</t>
        </is>
      </c>
      <c r="L429" s="61" t="inlineStr">
        <is>
          <t>Matched to historical category: Payroll expenses:Payroll Processing Fee</t>
        </is>
      </c>
    </row>
    <row r="430" ht="16" customHeight="1">
      <c r="A430" s="39" t="inlineStr">
        <is>
          <t>Total for Payroll Processing Fee</t>
        </is>
      </c>
      <c r="I430" s="70">
        <f>I423+I424+I425+I426+I427+I428+I429</f>
        <v/>
      </c>
    </row>
    <row r="431" ht="16" customHeight="1">
      <c r="A431" s="38" t="inlineStr">
        <is>
          <t>Payroll taxes</t>
        </is>
      </c>
    </row>
    <row r="432" ht="16" customHeight="1">
      <c r="B432" s="26" t="inlineStr">
        <is>
          <t>Beginning Balance</t>
        </is>
      </c>
      <c r="J432" s="57" t="n">
        <v>32128.19</v>
      </c>
    </row>
    <row r="433" ht="16" customHeight="1">
      <c r="B433" s="58" t="inlineStr">
        <is>
          <t>Payroll taxes</t>
        </is>
      </c>
      <c r="C433" s="58" t="inlineStr">
        <is>
          <t>07/15/2026</t>
        </is>
      </c>
      <c r="D433" s="58" t="inlineStr">
        <is>
          <t>Journal Entry</t>
        </is>
      </c>
      <c r="E433" s="58" t="inlineStr"/>
      <c r="F433" s="58" t="inlineStr"/>
      <c r="G433" s="58" t="inlineStr"/>
      <c r="H433" s="58" t="inlineStr"/>
      <c r="I433" s="59" t="n">
        <v>2272.75</v>
      </c>
      <c r="J433" s="59" t="n">
        <v>34400.94</v>
      </c>
      <c r="K433" s="60" t="inlineStr">
        <is>
          <t>MATCHED</t>
        </is>
      </c>
      <c r="L433" s="61" t="inlineStr">
        <is>
          <t>Standard ledger entry</t>
        </is>
      </c>
    </row>
    <row r="434" ht="16" customHeight="1">
      <c r="B434" s="58" t="inlineStr">
        <is>
          <t>Payroll taxes</t>
        </is>
      </c>
      <c r="C434" s="58" t="inlineStr">
        <is>
          <t>07/31/2026</t>
        </is>
      </c>
      <c r="D434" s="58" t="inlineStr">
        <is>
          <t>Journal Entry</t>
        </is>
      </c>
      <c r="E434" s="58" t="inlineStr"/>
      <c r="F434" s="58" t="inlineStr"/>
      <c r="G434" s="58" t="inlineStr"/>
      <c r="H434" s="58" t="inlineStr"/>
      <c r="I434" s="59" t="n">
        <v>2409.96</v>
      </c>
      <c r="J434" s="59" t="n">
        <v>36810.9</v>
      </c>
      <c r="K434" s="60" t="inlineStr">
        <is>
          <t>MATCHED</t>
        </is>
      </c>
      <c r="L434" s="61" t="inlineStr">
        <is>
          <t>Standard ledger entry</t>
        </is>
      </c>
    </row>
    <row r="435" ht="16" customHeight="1">
      <c r="A435" s="39" t="inlineStr">
        <is>
          <t>Total for Payroll taxes</t>
        </is>
      </c>
      <c r="I435" s="70">
        <f>I431+I432+I433+I434</f>
        <v/>
      </c>
    </row>
    <row r="436" ht="16" customHeight="1">
      <c r="A436" s="37" t="inlineStr">
        <is>
          <t>Total for Payroll expenses with sub-accounts</t>
        </is>
      </c>
      <c r="I436" s="70">
        <f>I430+I435</f>
        <v/>
      </c>
    </row>
    <row r="437" ht="16" customHeight="1">
      <c r="A437" s="36" t="inlineStr">
        <is>
          <t>Professional Fees</t>
        </is>
      </c>
    </row>
    <row r="438" ht="16" customHeight="1">
      <c r="B438" s="26" t="inlineStr">
        <is>
          <t>Beginning Balance</t>
        </is>
      </c>
      <c r="J438" s="57" t="n">
        <v>2119.24</v>
      </c>
    </row>
    <row r="439" ht="16" customHeight="1">
      <c r="A439" s="37" t="inlineStr">
        <is>
          <t>Total for Professional Fees</t>
        </is>
      </c>
      <c r="I439" s="70">
        <f>I438</f>
        <v/>
      </c>
    </row>
    <row r="440" ht="16" customHeight="1">
      <c r="A440" s="36" t="inlineStr">
        <is>
          <t>QuickBooks Payments Fees</t>
        </is>
      </c>
    </row>
    <row r="441" ht="16" customHeight="1">
      <c r="B441" s="26" t="inlineStr">
        <is>
          <t>Beginning Balance</t>
        </is>
      </c>
      <c r="J441" s="57" t="n">
        <v>99.15000000000001</v>
      </c>
    </row>
    <row r="442" ht="16" customHeight="1">
      <c r="A442" s="37" t="inlineStr">
        <is>
          <t>Total for QuickBooks Payments Fees</t>
        </is>
      </c>
      <c r="I442" s="70">
        <f>I441</f>
        <v/>
      </c>
    </row>
    <row r="443" ht="16" customHeight="1">
      <c r="A443" s="36" t="inlineStr">
        <is>
          <t>Rent</t>
        </is>
      </c>
    </row>
    <row r="444" ht="16" customHeight="1">
      <c r="A444" s="38" t="inlineStr">
        <is>
          <t>Building &amp; land rent</t>
        </is>
      </c>
    </row>
    <row r="445" ht="16" customHeight="1">
      <c r="B445" s="26" t="inlineStr">
        <is>
          <t>Beginning Balance</t>
        </is>
      </c>
      <c r="J445" s="57" t="n">
        <v>9350</v>
      </c>
    </row>
    <row r="446" ht="16" customHeight="1">
      <c r="B446" s="58" t="inlineStr">
        <is>
          <t>Building &amp; land rent</t>
        </is>
      </c>
      <c r="C446" s="58" t="inlineStr">
        <is>
          <t>07/20/2026</t>
        </is>
      </c>
      <c r="D446" s="58" t="inlineStr">
        <is>
          <t>Bill</t>
        </is>
      </c>
      <c r="E446" s="58" t="inlineStr"/>
      <c r="F446" s="58" t="inlineStr">
        <is>
          <t>Exor Properties, LLC</t>
        </is>
      </c>
      <c r="G446" s="58" t="inlineStr">
        <is>
          <t>Kindly schedule the monthly rental payment to be released on the 25th of each month</t>
        </is>
      </c>
      <c r="H446" s="58" t="inlineStr">
        <is>
          <t>Accounts Payable (A/P)</t>
        </is>
      </c>
      <c r="I446" s="59" t="n">
        <v>1650</v>
      </c>
      <c r="J446" s="59" t="n">
        <v>11000</v>
      </c>
      <c r="K446" s="60" t="inlineStr">
        <is>
          <t>MATCHED</t>
        </is>
      </c>
      <c r="L446" s="61" t="inlineStr">
        <is>
          <t>Standard ledger entry</t>
        </is>
      </c>
    </row>
    <row r="447" ht="16" customHeight="1">
      <c r="A447" s="39" t="inlineStr">
        <is>
          <t>Total for Building &amp; land rent</t>
        </is>
      </c>
      <c r="I447" s="70">
        <f>I444+I445+I446</f>
        <v/>
      </c>
    </row>
    <row r="448" ht="16" customHeight="1">
      <c r="A448" s="37" t="inlineStr">
        <is>
          <t>Total for Rent with sub-accounts</t>
        </is>
      </c>
      <c r="I448" s="70">
        <f>I447</f>
        <v/>
      </c>
    </row>
    <row r="449" ht="16" customHeight="1">
      <c r="A449" s="36" t="inlineStr">
        <is>
          <t>Repairs &amp; maintenance</t>
        </is>
      </c>
    </row>
    <row r="450" ht="16" customHeight="1">
      <c r="B450" s="26" t="inlineStr">
        <is>
          <t>Beginning Balance</t>
        </is>
      </c>
      <c r="J450" s="57" t="n">
        <v>759</v>
      </c>
    </row>
    <row r="451" ht="16" customHeight="1">
      <c r="A451" s="37" t="inlineStr">
        <is>
          <t>Total for Repairs &amp; maintenance</t>
        </is>
      </c>
      <c r="I451" s="70">
        <f>I450</f>
        <v/>
      </c>
    </row>
    <row r="452" ht="16" customHeight="1">
      <c r="A452" s="36" t="inlineStr">
        <is>
          <t>Shipping &amp; postage</t>
        </is>
      </c>
    </row>
    <row r="453" ht="16" customHeight="1">
      <c r="B453" s="26" t="inlineStr">
        <is>
          <t>Beginning Balance</t>
        </is>
      </c>
      <c r="J453" s="57" t="n">
        <v>134.19</v>
      </c>
    </row>
    <row r="454" ht="16" customHeight="1">
      <c r="A454" s="37" t="inlineStr">
        <is>
          <t>Total for Shipping &amp; postage</t>
        </is>
      </c>
      <c r="I454" s="70">
        <f>I453</f>
        <v/>
      </c>
    </row>
    <row r="455" ht="16" customHeight="1">
      <c r="A455" s="36" t="inlineStr">
        <is>
          <t>Taxes paid</t>
        </is>
      </c>
    </row>
    <row r="456" ht="16" customHeight="1">
      <c r="B456" s="26" t="inlineStr">
        <is>
          <t>Beginning Balance</t>
        </is>
      </c>
      <c r="J456" s="57" t="n">
        <v>9835.209999999999</v>
      </c>
    </row>
    <row r="457" ht="16" customHeight="1">
      <c r="B457" s="58" t="inlineStr">
        <is>
          <t>Taxes paid</t>
        </is>
      </c>
      <c r="C457" s="58" t="inlineStr">
        <is>
          <t>07/15/2026</t>
        </is>
      </c>
      <c r="D457" s="58" t="inlineStr">
        <is>
          <t>Expense</t>
        </is>
      </c>
      <c r="E457" s="58" t="inlineStr"/>
      <c r="F457" s="58" t="inlineStr"/>
      <c r="G457" s="58" t="inlineStr">
        <is>
          <t>FRANCHISE TAX BO DES:PAYMENTS ID:132441137 PM INDN:VIRTUSSO CO ID:1282532045 CCD</t>
        </is>
      </c>
      <c r="H457" s="58" t="inlineStr">
        <is>
          <t>Bank of America</t>
        </is>
      </c>
      <c r="I457" s="59" t="n">
        <v>853</v>
      </c>
      <c r="J457" s="59" t="n">
        <v>10688.21</v>
      </c>
      <c r="K457" s="60" t="inlineStr">
        <is>
          <t>MATCHED</t>
        </is>
      </c>
      <c r="L457" s="61" t="inlineStr">
        <is>
          <t>Standard ledger entry</t>
        </is>
      </c>
    </row>
    <row r="458" ht="16" customHeight="1">
      <c r="A458" s="37" t="inlineStr">
        <is>
          <t>Total for Taxes paid</t>
        </is>
      </c>
      <c r="I458" s="70">
        <f>I456+I457</f>
        <v/>
      </c>
    </row>
    <row r="459" ht="16" customHeight="1">
      <c r="A459" s="36" t="inlineStr">
        <is>
          <t>Travel</t>
        </is>
      </c>
    </row>
    <row r="460" ht="16" customHeight="1">
      <c r="A460" s="38" t="inlineStr">
        <is>
          <t>Airfare</t>
        </is>
      </c>
    </row>
    <row r="461" ht="16" customHeight="1">
      <c r="B461" s="26" t="inlineStr">
        <is>
          <t>Beginning Balance</t>
        </is>
      </c>
      <c r="J461" s="57" t="n">
        <v>2349.95</v>
      </c>
    </row>
    <row r="462" ht="16" customHeight="1">
      <c r="A462" s="39" t="inlineStr">
        <is>
          <t>Total for Airfare</t>
        </is>
      </c>
      <c r="I462" s="70">
        <f>I460+I461</f>
        <v/>
      </c>
    </row>
    <row r="463" ht="16" customHeight="1">
      <c r="A463" s="38" t="inlineStr">
        <is>
          <t>Auto Expenses</t>
        </is>
      </c>
    </row>
    <row r="464" ht="16" customHeight="1">
      <c r="B464" s="26" t="inlineStr">
        <is>
          <t>Beginning Balance</t>
        </is>
      </c>
      <c r="J464" s="57" t="n">
        <v>1056.92</v>
      </c>
    </row>
    <row r="465" ht="16" customHeight="1">
      <c r="B465" s="58" t="inlineStr">
        <is>
          <t>Auto Expenses</t>
        </is>
      </c>
      <c r="C465" s="58" t="inlineStr">
        <is>
          <t>07/10/2026</t>
        </is>
      </c>
      <c r="D465" s="58" t="inlineStr">
        <is>
          <t>Expense</t>
        </is>
      </c>
      <c r="E465" s="58" t="inlineStr"/>
      <c r="F465" s="58" t="inlineStr"/>
      <c r="G465" s="58" t="inlineStr">
        <is>
          <t>AplPay WAWA FUEL/CONNEW CASTLE          DE</t>
        </is>
      </c>
      <c r="H465" s="58" t="inlineStr">
        <is>
          <t>Amex CC</t>
        </is>
      </c>
      <c r="I465" s="59" t="n">
        <v>68.13</v>
      </c>
      <c r="J465" s="59" t="n">
        <v>1125.05</v>
      </c>
      <c r="K465" s="60" t="inlineStr">
        <is>
          <t>MATCHED</t>
        </is>
      </c>
      <c r="L465" s="61" t="inlineStr">
        <is>
          <t>Matched to historical category: Travel:Auto Expenses</t>
        </is>
      </c>
    </row>
    <row r="466" ht="16" customHeight="1">
      <c r="B466" s="58" t="inlineStr">
        <is>
          <t>Auto Expenses</t>
        </is>
      </c>
      <c r="C466" s="58" t="inlineStr">
        <is>
          <t>07/15/2026</t>
        </is>
      </c>
      <c r="D466" s="58" t="inlineStr">
        <is>
          <t>Expense</t>
        </is>
      </c>
      <c r="E466" s="58" t="inlineStr"/>
      <c r="F466" s="58" t="inlineStr"/>
      <c r="G466" s="58" t="inlineStr">
        <is>
          <t>AplPay WAWA FUEL/CONNEW CASTLE          DE</t>
        </is>
      </c>
      <c r="H466" s="58" t="inlineStr">
        <is>
          <t>Amex CC</t>
        </is>
      </c>
      <c r="I466" s="59" t="n">
        <v>59.61</v>
      </c>
      <c r="J466" s="59" t="n">
        <v>1184.66</v>
      </c>
      <c r="K466" s="60" t="inlineStr">
        <is>
          <t>MATCHED</t>
        </is>
      </c>
      <c r="L466" s="61" t="inlineStr">
        <is>
          <t>Matched to historical category: Travel:Auto Expenses</t>
        </is>
      </c>
    </row>
    <row r="467" ht="16" customHeight="1">
      <c r="B467" s="58" t="inlineStr">
        <is>
          <t>Auto Expenses</t>
        </is>
      </c>
      <c r="C467" s="58" t="inlineStr">
        <is>
          <t>07/19/2026</t>
        </is>
      </c>
      <c r="D467" s="58" t="inlineStr">
        <is>
          <t>Expense</t>
        </is>
      </c>
      <c r="E467" s="58" t="inlineStr"/>
      <c r="F467" s="58" t="inlineStr"/>
      <c r="G467" s="58" t="inlineStr">
        <is>
          <t>AplPay WAWA FUEL/CONNEW CASTLE          DE</t>
        </is>
      </c>
      <c r="H467" s="58" t="inlineStr">
        <is>
          <t>Amex CC</t>
        </is>
      </c>
      <c r="I467" s="59" t="n">
        <v>61.54</v>
      </c>
      <c r="J467" s="59" t="n">
        <v>1246.2</v>
      </c>
      <c r="K467" s="60" t="inlineStr">
        <is>
          <t>MATCHED</t>
        </is>
      </c>
      <c r="L467" s="61" t="inlineStr">
        <is>
          <t>Matched to historical category: Travel:Auto Expenses</t>
        </is>
      </c>
    </row>
    <row r="468" ht="16" customHeight="1">
      <c r="B468" s="58" t="inlineStr">
        <is>
          <t>Auto Expenses</t>
        </is>
      </c>
      <c r="C468" s="58" t="inlineStr">
        <is>
          <t>07/29/2026</t>
        </is>
      </c>
      <c r="D468" s="58" t="inlineStr">
        <is>
          <t>Expense</t>
        </is>
      </c>
      <c r="E468" s="58" t="inlineStr"/>
      <c r="F468" s="58" t="inlineStr"/>
      <c r="G468" s="58" t="inlineStr">
        <is>
          <t>AplPay WAWA FUEL/CONNEW CASTLE          DE</t>
        </is>
      </c>
      <c r="H468" s="58" t="inlineStr">
        <is>
          <t>Amex CC</t>
        </is>
      </c>
      <c r="I468" s="59" t="n">
        <v>63.46</v>
      </c>
      <c r="J468" s="59" t="n">
        <v>1309.66</v>
      </c>
      <c r="K468" s="60" t="inlineStr">
        <is>
          <t>MATCHED</t>
        </is>
      </c>
      <c r="L468" s="61" t="inlineStr">
        <is>
          <t>Matched to historical category: Travel:Auto Expenses</t>
        </is>
      </c>
    </row>
    <row r="469" ht="16" customHeight="1">
      <c r="A469" s="39" t="inlineStr">
        <is>
          <t>Total for Auto Expenses</t>
        </is>
      </c>
      <c r="I469" s="70">
        <f>I463+I464+I465+I466+I467+I468</f>
        <v/>
      </c>
    </row>
    <row r="470" ht="16" customHeight="1">
      <c r="A470" s="38" t="inlineStr">
        <is>
          <t>Hotels</t>
        </is>
      </c>
    </row>
    <row r="471" ht="16" customHeight="1">
      <c r="B471" s="26" t="inlineStr">
        <is>
          <t>Beginning Balance</t>
        </is>
      </c>
      <c r="J471" s="57" t="n">
        <v>1651.03</v>
      </c>
    </row>
    <row r="472" ht="16" customHeight="1">
      <c r="A472" s="39" t="inlineStr">
        <is>
          <t>Total for Hotels</t>
        </is>
      </c>
      <c r="I472" s="70">
        <f>I470+I471</f>
        <v/>
      </c>
    </row>
    <row r="473" ht="16" customHeight="1">
      <c r="A473" s="38" t="inlineStr">
        <is>
          <t>Taxis or shared rides</t>
        </is>
      </c>
    </row>
    <row r="474" ht="16" customHeight="1">
      <c r="B474" s="26" t="inlineStr">
        <is>
          <t>Beginning Balance</t>
        </is>
      </c>
      <c r="J474" s="57" t="n">
        <v>940.86</v>
      </c>
    </row>
    <row r="475" ht="16" customHeight="1">
      <c r="B475" s="58" t="inlineStr">
        <is>
          <t>Taxis or shared rides</t>
        </is>
      </c>
      <c r="C475" s="58" t="inlineStr">
        <is>
          <t>07/19/2026</t>
        </is>
      </c>
      <c r="D475" s="58" t="inlineStr">
        <is>
          <t>Expense</t>
        </is>
      </c>
      <c r="E475" s="58" t="inlineStr"/>
      <c r="F475" s="58" t="inlineStr"/>
      <c r="G475" s="58" t="inlineStr">
        <is>
          <t>UBER</t>
        </is>
      </c>
      <c r="H475" s="58" t="inlineStr">
        <is>
          <t>Amex CC</t>
        </is>
      </c>
      <c r="I475" s="59" t="n">
        <v>5</v>
      </c>
      <c r="J475" s="59" t="n">
        <v>945.86</v>
      </c>
      <c r="K475" s="60" t="inlineStr">
        <is>
          <t>MATCHED</t>
        </is>
      </c>
      <c r="L475" s="61" t="inlineStr">
        <is>
          <t>Matched to historical category: Travel:Taxis or shared rides</t>
        </is>
      </c>
    </row>
    <row r="476" ht="16" customHeight="1">
      <c r="B476" s="58" t="inlineStr">
        <is>
          <t>Taxis or shared rides</t>
        </is>
      </c>
      <c r="C476" s="58" t="inlineStr">
        <is>
          <t>07/20/2026</t>
        </is>
      </c>
      <c r="D476" s="58" t="inlineStr">
        <is>
          <t>Expense</t>
        </is>
      </c>
      <c r="E476" s="58" t="inlineStr"/>
      <c r="F476" s="58" t="inlineStr"/>
      <c r="G476" s="58" t="inlineStr">
        <is>
          <t>UBER</t>
        </is>
      </c>
      <c r="H476" s="58" t="inlineStr">
        <is>
          <t>Amex CC</t>
        </is>
      </c>
      <c r="I476" s="59" t="n">
        <v>20.95</v>
      </c>
      <c r="J476" s="59" t="n">
        <v>966.8100000000001</v>
      </c>
      <c r="K476" s="60" t="inlineStr">
        <is>
          <t>MATCHED</t>
        </is>
      </c>
      <c r="L476" s="61" t="inlineStr">
        <is>
          <t>Matched to historical category: Travel:Taxis or shared rides</t>
        </is>
      </c>
    </row>
    <row r="477" ht="16" customHeight="1">
      <c r="B477" s="58" t="inlineStr">
        <is>
          <t>Taxis or shared rides</t>
        </is>
      </c>
      <c r="C477" s="58" t="inlineStr">
        <is>
          <t>07/26/2026</t>
        </is>
      </c>
      <c r="D477" s="58" t="inlineStr">
        <is>
          <t>Expense</t>
        </is>
      </c>
      <c r="E477" s="58" t="inlineStr"/>
      <c r="F477" s="58" t="inlineStr"/>
      <c r="G477" s="58" t="inlineStr">
        <is>
          <t>UBER ONE            help.uber.com       CA</t>
        </is>
      </c>
      <c r="H477" s="58" t="inlineStr">
        <is>
          <t>Amex CC</t>
        </is>
      </c>
      <c r="I477" s="59" t="n">
        <v>9.99</v>
      </c>
      <c r="J477" s="59" t="n">
        <v>976.8000000000001</v>
      </c>
      <c r="K477" s="60" t="inlineStr">
        <is>
          <t>MATCHED</t>
        </is>
      </c>
      <c r="L477" s="61" t="inlineStr">
        <is>
          <t>Matched to historical category: Travel:Taxis or shared rides</t>
        </is>
      </c>
    </row>
    <row r="478" ht="16" customHeight="1">
      <c r="B478" s="58" t="inlineStr">
        <is>
          <t>Taxis or shared rides</t>
        </is>
      </c>
      <c r="C478" s="58" t="inlineStr">
        <is>
          <t>07/30/2026</t>
        </is>
      </c>
      <c r="D478" s="58" t="inlineStr">
        <is>
          <t>Expense</t>
        </is>
      </c>
      <c r="E478" s="58" t="inlineStr"/>
      <c r="F478" s="58" t="inlineStr"/>
      <c r="G478" s="58" t="inlineStr">
        <is>
          <t>UBER</t>
        </is>
      </c>
      <c r="H478" s="58" t="inlineStr">
        <is>
          <t>Amex CC</t>
        </is>
      </c>
      <c r="I478" s="59" t="n">
        <v>12.7</v>
      </c>
      <c r="J478" s="59" t="n">
        <v>989.5000000000001</v>
      </c>
      <c r="K478" s="60" t="inlineStr">
        <is>
          <t>MATCHED</t>
        </is>
      </c>
      <c r="L478" s="61" t="inlineStr">
        <is>
          <t>Matched to historical category: Travel:Taxis or shared rides</t>
        </is>
      </c>
    </row>
    <row r="479" ht="16" customHeight="1">
      <c r="B479" s="58" t="inlineStr">
        <is>
          <t>Taxis or shared rides</t>
        </is>
      </c>
      <c r="C479" s="58" t="inlineStr">
        <is>
          <t>07/30/2026</t>
        </is>
      </c>
      <c r="D479" s="58" t="inlineStr">
        <is>
          <t>Expense</t>
        </is>
      </c>
      <c r="E479" s="58" t="inlineStr"/>
      <c r="F479" s="58" t="inlineStr"/>
      <c r="G479" s="58" t="inlineStr">
        <is>
          <t>UBER</t>
        </is>
      </c>
      <c r="H479" s="58" t="inlineStr">
        <is>
          <t>Amex CC</t>
        </is>
      </c>
      <c r="I479" s="59" t="n">
        <v>14.19</v>
      </c>
      <c r="J479" s="59" t="n">
        <v>1003.69</v>
      </c>
      <c r="K479" s="60" t="inlineStr">
        <is>
          <t>MATCHED</t>
        </is>
      </c>
      <c r="L479" s="61" t="inlineStr">
        <is>
          <t>Matched to historical category: Travel:Taxis or shared rides</t>
        </is>
      </c>
    </row>
    <row r="480" ht="16" customHeight="1">
      <c r="A480" s="39" t="inlineStr">
        <is>
          <t>Total for Taxis or shared rides</t>
        </is>
      </c>
      <c r="I480" s="70">
        <f>I473+I474+I475+I476+I477+I478+I479</f>
        <v/>
      </c>
    </row>
    <row r="481" ht="16" customHeight="1">
      <c r="A481" s="37" t="inlineStr">
        <is>
          <t>Total for Travel with sub-accounts</t>
        </is>
      </c>
      <c r="I481" s="70">
        <f>I462+I469+I472+I480</f>
        <v/>
      </c>
    </row>
    <row r="482" ht="16" customHeight="1">
      <c r="A482" s="36" t="inlineStr">
        <is>
          <t>Uncategorized Expense</t>
        </is>
      </c>
    </row>
    <row r="483" ht="16" customHeight="1">
      <c r="B483" s="26" t="inlineStr">
        <is>
          <t>Beginning Balance</t>
        </is>
      </c>
      <c r="J483" s="57" t="n">
        <v>987.41</v>
      </c>
    </row>
    <row r="484" ht="16" customHeight="1">
      <c r="A484" s="37" t="inlineStr">
        <is>
          <t>Total for Uncategorized Expense</t>
        </is>
      </c>
      <c r="I484" s="70">
        <f>I483</f>
        <v/>
      </c>
    </row>
    <row r="485" ht="16" customHeight="1">
      <c r="A485" s="36" t="inlineStr">
        <is>
          <t>Utilities</t>
        </is>
      </c>
    </row>
    <row r="486" ht="16" customHeight="1">
      <c r="A486" s="38" t="inlineStr">
        <is>
          <t>Disposal &amp; waste fees</t>
        </is>
      </c>
    </row>
    <row r="487" ht="16" customHeight="1">
      <c r="B487" s="26" t="inlineStr">
        <is>
          <t>Beginning Balance</t>
        </is>
      </c>
      <c r="J487" s="57" t="n">
        <v>195</v>
      </c>
    </row>
    <row r="488" ht="16" customHeight="1">
      <c r="A488" s="39" t="inlineStr">
        <is>
          <t>Total for Disposal &amp; waste fees</t>
        </is>
      </c>
      <c r="I488" s="70">
        <f>I486+I487</f>
        <v/>
      </c>
    </row>
    <row r="489" ht="16" customHeight="1">
      <c r="A489" s="38" t="inlineStr">
        <is>
          <t>Electricity</t>
        </is>
      </c>
    </row>
    <row r="490" ht="16" customHeight="1">
      <c r="B490" s="58" t="inlineStr">
        <is>
          <t>Electricity</t>
        </is>
      </c>
      <c r="C490" s="58" t="inlineStr">
        <is>
          <t>07/23/2026</t>
        </is>
      </c>
      <c r="D490" s="58" t="inlineStr">
        <is>
          <t>Expense</t>
        </is>
      </c>
      <c r="E490" s="58" t="inlineStr"/>
      <c r="F490" s="58" t="inlineStr"/>
      <c r="G490" s="58" t="inlineStr">
        <is>
          <t>DELMARVA PWR PAYMENTNEWARK              DE</t>
        </is>
      </c>
      <c r="H490" s="58" t="inlineStr">
        <is>
          <t>Amex CC</t>
        </is>
      </c>
      <c r="I490" s="59" t="n">
        <v>157.15</v>
      </c>
      <c r="J490" s="59" t="n">
        <v>157.15</v>
      </c>
      <c r="K490" s="60" t="inlineStr">
        <is>
          <t>MATCHED</t>
        </is>
      </c>
      <c r="L490" s="61" t="inlineStr">
        <is>
          <t>Matched to historical category: Utilities:Electricity</t>
        </is>
      </c>
    </row>
    <row r="491" ht="16" customHeight="1">
      <c r="A491" s="39" t="inlineStr">
        <is>
          <t>Total for Electricity</t>
        </is>
      </c>
      <c r="I491" s="70">
        <f>I489+I490</f>
        <v/>
      </c>
    </row>
    <row r="492" ht="16" customHeight="1">
      <c r="A492" s="38" t="inlineStr">
        <is>
          <t>Other</t>
        </is>
      </c>
    </row>
    <row r="493" ht="16" customHeight="1">
      <c r="B493" s="26" t="inlineStr">
        <is>
          <t>Beginning Balance</t>
        </is>
      </c>
      <c r="J493" s="57" t="n">
        <v>339.8</v>
      </c>
    </row>
    <row r="494" ht="16" customHeight="1">
      <c r="B494" s="58" t="inlineStr">
        <is>
          <t>Other</t>
        </is>
      </c>
      <c r="C494" s="58" t="inlineStr">
        <is>
          <t>07/03/2026</t>
        </is>
      </c>
      <c r="D494" s="58" t="inlineStr">
        <is>
          <t>Expense</t>
        </is>
      </c>
      <c r="E494" s="58" t="inlineStr"/>
      <c r="F494" s="58" t="inlineStr"/>
      <c r="G494" s="58" t="inlineStr">
        <is>
          <t>COMCAST / XFINITY   800-266-2278        FL</t>
        </is>
      </c>
      <c r="H494" s="58" t="inlineStr">
        <is>
          <t>Amex CC</t>
        </is>
      </c>
      <c r="I494" s="59" t="n">
        <v>100.05</v>
      </c>
      <c r="J494" s="59" t="n">
        <v>439.85</v>
      </c>
      <c r="K494" s="60" t="inlineStr">
        <is>
          <t>MATCHED</t>
        </is>
      </c>
      <c r="L494" s="61" t="inlineStr">
        <is>
          <t>Matched to historical category: Utilities:Other</t>
        </is>
      </c>
    </row>
    <row r="495" ht="16" customHeight="1">
      <c r="A495" s="39" t="inlineStr">
        <is>
          <t>Total for Other</t>
        </is>
      </c>
      <c r="I495" s="70">
        <f>I492+I493+I494</f>
        <v/>
      </c>
    </row>
    <row r="496" ht="16" customHeight="1">
      <c r="A496" s="38" t="inlineStr">
        <is>
          <t>Phone service</t>
        </is>
      </c>
    </row>
    <row r="497" ht="16" customHeight="1">
      <c r="B497" s="26" t="inlineStr">
        <is>
          <t>Beginning Balance</t>
        </is>
      </c>
      <c r="J497" s="57" t="n">
        <v>6600.27</v>
      </c>
    </row>
    <row r="498" ht="16" customHeight="1">
      <c r="B498" s="58" t="inlineStr">
        <is>
          <t>Phone service</t>
        </is>
      </c>
      <c r="C498" s="58" t="inlineStr">
        <is>
          <t>07/04/2026</t>
        </is>
      </c>
      <c r="D498" s="58" t="inlineStr">
        <is>
          <t>Expense</t>
        </is>
      </c>
      <c r="E498" s="58" t="inlineStr"/>
      <c r="F498" s="58" t="inlineStr"/>
      <c r="G498" s="58" t="inlineStr">
        <is>
          <t>VERIZON*RECURRING PAY 800VERIZON FL</t>
        </is>
      </c>
      <c r="H498" s="58" t="inlineStr">
        <is>
          <t>BOA CC</t>
        </is>
      </c>
      <c r="I498" s="59" t="n">
        <v>89.98999999999999</v>
      </c>
      <c r="J498" s="59" t="n">
        <v>6690.26</v>
      </c>
      <c r="K498" s="60" t="inlineStr">
        <is>
          <t>MATCHED</t>
        </is>
      </c>
      <c r="L498" s="61" t="inlineStr">
        <is>
          <t>Matched to historical category: Utilities:Phone service</t>
        </is>
      </c>
    </row>
    <row r="499" ht="16" customHeight="1">
      <c r="B499" s="58" t="inlineStr">
        <is>
          <t>Phone service</t>
        </is>
      </c>
      <c r="C499" s="58" t="inlineStr">
        <is>
          <t>07/15/2026</t>
        </is>
      </c>
      <c r="D499" s="58" t="inlineStr">
        <is>
          <t>Expense</t>
        </is>
      </c>
      <c r="E499" s="58" t="inlineStr"/>
      <c r="F499" s="58" t="inlineStr"/>
      <c r="G499" s="58" t="inlineStr">
        <is>
          <t>AT&amp;T UVERSE PAYMENT 8002882020          TX</t>
        </is>
      </c>
      <c r="H499" s="58" t="inlineStr">
        <is>
          <t>Amex CC</t>
        </is>
      </c>
      <c r="I499" s="59" t="n">
        <v>100.41</v>
      </c>
      <c r="J499" s="59" t="n">
        <v>6790.67</v>
      </c>
      <c r="K499" s="60" t="inlineStr">
        <is>
          <t>MATCHED</t>
        </is>
      </c>
      <c r="L499" s="61" t="inlineStr">
        <is>
          <t>Matched to historical category: Utilities:Phone service</t>
        </is>
      </c>
    </row>
    <row r="500" ht="16" customHeight="1">
      <c r="B500" s="58" t="inlineStr">
        <is>
          <t>Phone service</t>
        </is>
      </c>
      <c r="C500" s="58" t="inlineStr">
        <is>
          <t>07/20/2026</t>
        </is>
      </c>
      <c r="D500" s="58" t="inlineStr">
        <is>
          <t>Expense</t>
        </is>
      </c>
      <c r="E500" s="58" t="inlineStr"/>
      <c r="F500" s="58" t="inlineStr"/>
      <c r="G500" s="58" t="inlineStr">
        <is>
          <t>RINGCENTRAL INC     888-898-4591        CA</t>
        </is>
      </c>
      <c r="H500" s="58" t="inlineStr">
        <is>
          <t>Amex CC</t>
        </is>
      </c>
      <c r="I500" s="59" t="n">
        <v>467.59</v>
      </c>
      <c r="J500" s="59" t="n">
        <v>7258.26</v>
      </c>
      <c r="K500" s="60" t="inlineStr">
        <is>
          <t>MATCHED</t>
        </is>
      </c>
      <c r="L500" s="61" t="inlineStr">
        <is>
          <t>Matched to historical category: Utilities:Phone service</t>
        </is>
      </c>
    </row>
    <row r="501" ht="16" customHeight="1">
      <c r="B501" s="71" t="inlineStr">
        <is>
          <t>Phone service</t>
        </is>
      </c>
      <c r="C501" s="71" t="inlineStr">
        <is>
          <t>07/28/2026</t>
        </is>
      </c>
      <c r="D501" s="71" t="inlineStr">
        <is>
          <t>Credit Card Credit</t>
        </is>
      </c>
      <c r="E501" s="71" t="inlineStr"/>
      <c r="F501" s="71" t="inlineStr"/>
      <c r="G501" s="71" t="inlineStr">
        <is>
          <t>AMEX Wireless Credit</t>
        </is>
      </c>
      <c r="H501" s="71" t="inlineStr">
        <is>
          <t>Amex CC</t>
        </is>
      </c>
      <c r="I501" s="72" t="n">
        <v>-10</v>
      </c>
      <c r="J501" s="72" t="n">
        <v>7248.26</v>
      </c>
      <c r="K501" s="73" t="inlineStr">
        <is>
          <t>CATEGORY MISMATCH</t>
        </is>
      </c>
      <c r="L501" s="74" t="inlineStr">
        <is>
          <t>Expected 'Amex CC', found 'Phone service'.</t>
        </is>
      </c>
    </row>
    <row r="502" ht="16" customHeight="1">
      <c r="B502" s="58" t="inlineStr">
        <is>
          <t>Phone service</t>
        </is>
      </c>
      <c r="C502" s="58" t="inlineStr">
        <is>
          <t>07/28/2026</t>
        </is>
      </c>
      <c r="D502" s="58" t="inlineStr">
        <is>
          <t>Expense</t>
        </is>
      </c>
      <c r="E502" s="58" t="inlineStr"/>
      <c r="F502" s="58" t="inlineStr"/>
      <c r="G502" s="58" t="inlineStr">
        <is>
          <t>VONAGE BUSINESS SOLU(866)901-0242       GA</t>
        </is>
      </c>
      <c r="H502" s="58" t="inlineStr">
        <is>
          <t>Amex CC</t>
        </is>
      </c>
      <c r="I502" s="59" t="n">
        <v>457.46</v>
      </c>
      <c r="J502" s="59" t="n">
        <v>7705.72</v>
      </c>
      <c r="K502" s="60" t="inlineStr">
        <is>
          <t>MATCHED</t>
        </is>
      </c>
      <c r="L502" s="61" t="inlineStr">
        <is>
          <t>Matched to historical category: Utilities:Phone service</t>
        </is>
      </c>
    </row>
    <row r="503" ht="16" customHeight="1">
      <c r="A503" s="39" t="inlineStr">
        <is>
          <t>Total for Phone service</t>
        </is>
      </c>
      <c r="I503" s="70">
        <f>I496+I497+I498+I499+I500+I501+I502</f>
        <v/>
      </c>
    </row>
    <row r="504" ht="16" customHeight="1">
      <c r="A504" s="38" t="inlineStr">
        <is>
          <t>Water &amp; sewer</t>
        </is>
      </c>
    </row>
    <row r="505" ht="16" customHeight="1">
      <c r="B505" s="58" t="inlineStr">
        <is>
          <t>Water &amp; sewer</t>
        </is>
      </c>
      <c r="C505" s="58" t="inlineStr">
        <is>
          <t>07/14/2026</t>
        </is>
      </c>
      <c r="D505" s="58" t="inlineStr">
        <is>
          <t>Expense</t>
        </is>
      </c>
      <c r="E505" s="58" t="inlineStr"/>
      <c r="F505" s="58" t="inlineStr"/>
      <c r="G505" s="58" t="inlineStr">
        <is>
          <t>APWD Bill Payment</t>
        </is>
      </c>
      <c r="H505" s="58" t="inlineStr">
        <is>
          <t>Bank of America</t>
        </is>
      </c>
      <c r="I505" s="59" t="n">
        <v>250</v>
      </c>
      <c r="J505" s="59" t="n">
        <v>250</v>
      </c>
      <c r="K505" s="60" t="inlineStr">
        <is>
          <t>MATCHED</t>
        </is>
      </c>
      <c r="L505" s="61" t="inlineStr">
        <is>
          <t>Standard ledger entry</t>
        </is>
      </c>
    </row>
    <row r="506" ht="16" customHeight="1">
      <c r="A506" s="39" t="inlineStr">
        <is>
          <t>Total for Water &amp; sewer</t>
        </is>
      </c>
      <c r="I506" s="70">
        <f>I504+I505</f>
        <v/>
      </c>
    </row>
    <row r="507" ht="16" customHeight="1">
      <c r="A507" s="37" t="inlineStr">
        <is>
          <t>Total for Utilities with sub-accounts</t>
        </is>
      </c>
      <c r="I507" s="70">
        <f>I488+I491+I495+I503+I506</f>
        <v/>
      </c>
    </row>
    <row r="508" ht="16" customHeight="1">
      <c r="A508" s="36" t="inlineStr">
        <is>
          <t>Gas And Fuel</t>
        </is>
      </c>
    </row>
    <row r="509" ht="16" customHeight="1">
      <c r="B509" s="26" t="inlineStr">
        <is>
          <t>Beginning Balance</t>
        </is>
      </c>
      <c r="J509" s="57" t="n">
        <v>897.62</v>
      </c>
    </row>
    <row r="510" ht="16" customHeight="1">
      <c r="B510" s="58" t="inlineStr">
        <is>
          <t>Gas And Fuel</t>
        </is>
      </c>
      <c r="C510" s="58" t="inlineStr">
        <is>
          <t>07/09/2026</t>
        </is>
      </c>
      <c r="D510" s="58" t="inlineStr">
        <is>
          <t>Expense</t>
        </is>
      </c>
      <c r="E510" s="58" t="inlineStr"/>
      <c r="F510" s="58" t="inlineStr"/>
      <c r="G510" s="58" t="inlineStr">
        <is>
          <t>QUIK STOP 0166/UNBRAVACAVILLE           CA</t>
        </is>
      </c>
      <c r="H510" s="58" t="inlineStr">
        <is>
          <t>Amex CC</t>
        </is>
      </c>
      <c r="I510" s="59" t="n">
        <v>86.31999999999999</v>
      </c>
      <c r="J510" s="59" t="n">
        <v>983.9400000000001</v>
      </c>
      <c r="K510" s="60" t="inlineStr">
        <is>
          <t>MATCHED</t>
        </is>
      </c>
      <c r="L510" s="61" t="inlineStr">
        <is>
          <t>Matched to historical category: Gas And Fuel</t>
        </is>
      </c>
    </row>
    <row r="511" ht="16" customHeight="1">
      <c r="B511" s="58" t="inlineStr">
        <is>
          <t>Gas And Fuel</t>
        </is>
      </c>
      <c r="C511" s="58" t="inlineStr">
        <is>
          <t>07/18/2026</t>
        </is>
      </c>
      <c r="D511" s="58" t="inlineStr">
        <is>
          <t>Expense</t>
        </is>
      </c>
      <c r="E511" s="58" t="inlineStr"/>
      <c r="F511" s="58" t="inlineStr"/>
      <c r="G511" s="58" t="inlineStr">
        <is>
          <t>UNION 76 09439498   FREMONT             CA</t>
        </is>
      </c>
      <c r="H511" s="58" t="inlineStr">
        <is>
          <t>Amex CC</t>
        </is>
      </c>
      <c r="I511" s="59" t="n">
        <v>105.17</v>
      </c>
      <c r="J511" s="59" t="n">
        <v>1089.11</v>
      </c>
      <c r="K511" s="60" t="inlineStr">
        <is>
          <t>MATCHED</t>
        </is>
      </c>
      <c r="L511" s="61" t="inlineStr">
        <is>
          <t>Matched to historical category: Gas And Fuel</t>
        </is>
      </c>
    </row>
    <row r="512" ht="16" customHeight="1">
      <c r="B512" s="58" t="inlineStr">
        <is>
          <t>Gas And Fuel</t>
        </is>
      </c>
      <c r="C512" s="58" t="inlineStr">
        <is>
          <t>07/28/2026</t>
        </is>
      </c>
      <c r="D512" s="58" t="inlineStr">
        <is>
          <t>Expense</t>
        </is>
      </c>
      <c r="E512" s="58" t="inlineStr"/>
      <c r="F512" s="58" t="inlineStr"/>
      <c r="G512" s="58" t="inlineStr">
        <is>
          <t>CHEVRON 0306177/CHEVFREMONT             CA</t>
        </is>
      </c>
      <c r="H512" s="58" t="inlineStr">
        <is>
          <t>Amex CC</t>
        </is>
      </c>
      <c r="I512" s="59" t="n">
        <v>101.62</v>
      </c>
      <c r="J512" s="59" t="n">
        <v>1190.73</v>
      </c>
      <c r="K512" s="60" t="inlineStr">
        <is>
          <t>MATCHED</t>
        </is>
      </c>
      <c r="L512" s="61" t="inlineStr">
        <is>
          <t>Matched to historical category: Gas And Fuel</t>
        </is>
      </c>
    </row>
    <row r="513" ht="16" customHeight="1">
      <c r="A513" s="37" t="inlineStr">
        <is>
          <t>Total for Gas And Fuel</t>
        </is>
      </c>
      <c r="I513" s="70">
        <f>I509+I510+I511+I512</f>
        <v/>
      </c>
    </row>
    <row r="514" ht="16" customHeight="1">
      <c r="A514" s="36" t="inlineStr">
        <is>
          <t>Vehicle expenses</t>
        </is>
      </c>
    </row>
    <row r="515" ht="16" customHeight="1">
      <c r="A515" s="38" t="inlineStr">
        <is>
          <t>Parking &amp; tolls</t>
        </is>
      </c>
    </row>
    <row r="516" ht="16" customHeight="1">
      <c r="B516" s="26" t="inlineStr">
        <is>
          <t>Beginning Balance</t>
        </is>
      </c>
      <c r="J516" s="57" t="n">
        <v>350</v>
      </c>
    </row>
    <row r="517" ht="16" customHeight="1">
      <c r="B517" s="58" t="inlineStr">
        <is>
          <t>Parking &amp; tolls</t>
        </is>
      </c>
      <c r="C517" s="58" t="inlineStr">
        <is>
          <t>07/04/2026</t>
        </is>
      </c>
      <c r="D517" s="58" t="inlineStr">
        <is>
          <t>Expense</t>
        </is>
      </c>
      <c r="E517" s="58" t="inlineStr"/>
      <c r="F517" s="58" t="inlineStr"/>
      <c r="G517" s="58" t="inlineStr">
        <is>
          <t>FASTRAK CSC TOLLS   OAKLAND             CA</t>
        </is>
      </c>
      <c r="H517" s="58" t="inlineStr">
        <is>
          <t>Amex CC</t>
        </is>
      </c>
      <c r="I517" s="59" t="n">
        <v>50</v>
      </c>
      <c r="J517" s="59" t="n">
        <v>400</v>
      </c>
      <c r="K517" s="60" t="inlineStr">
        <is>
          <t>MATCHED</t>
        </is>
      </c>
      <c r="L517" s="61" t="inlineStr">
        <is>
          <t>Matched to historical category: Vehicle expenses:Parking &amp; tolls</t>
        </is>
      </c>
    </row>
    <row r="518" ht="16" customHeight="1">
      <c r="B518" s="58" t="inlineStr">
        <is>
          <t>Parking &amp; tolls</t>
        </is>
      </c>
      <c r="C518" s="58" t="inlineStr">
        <is>
          <t>07/16/2026</t>
        </is>
      </c>
      <c r="D518" s="58" t="inlineStr">
        <is>
          <t>Expense</t>
        </is>
      </c>
      <c r="E518" s="58" t="inlineStr"/>
      <c r="F518" s="58" t="inlineStr"/>
      <c r="G518" s="58" t="inlineStr">
        <is>
          <t>AplPay SPOTHERO 844-CHICAGO             IL</t>
        </is>
      </c>
      <c r="H518" s="58" t="inlineStr">
        <is>
          <t>Amex CC</t>
        </is>
      </c>
      <c r="I518" s="59" t="n">
        <v>47.7</v>
      </c>
      <c r="J518" s="59" t="n">
        <v>447.7</v>
      </c>
      <c r="K518" s="60" t="inlineStr">
        <is>
          <t>MATCHED</t>
        </is>
      </c>
      <c r="L518" s="61" t="inlineStr">
        <is>
          <t>Matched to historical category: Vehicle expenses:Parking &amp; tolls</t>
        </is>
      </c>
    </row>
    <row r="519" ht="16" customHeight="1">
      <c r="B519" s="58" t="inlineStr">
        <is>
          <t>Parking &amp; tolls</t>
        </is>
      </c>
      <c r="C519" s="58" t="inlineStr">
        <is>
          <t>07/17/2026</t>
        </is>
      </c>
      <c r="D519" s="58" t="inlineStr">
        <is>
          <t>Expense</t>
        </is>
      </c>
      <c r="E519" s="58" t="inlineStr"/>
      <c r="F519" s="58" t="inlineStr"/>
      <c r="G519" s="58" t="inlineStr">
        <is>
          <t>FASTRAK CSC TOLLS   OAKLAND             CA</t>
        </is>
      </c>
      <c r="H519" s="58" t="inlineStr">
        <is>
          <t>Amex CC</t>
        </is>
      </c>
      <c r="I519" s="59" t="n">
        <v>50</v>
      </c>
      <c r="J519" s="59" t="n">
        <v>497.7</v>
      </c>
      <c r="K519" s="60" t="inlineStr">
        <is>
          <t>MATCHED</t>
        </is>
      </c>
      <c r="L519" s="61" t="inlineStr">
        <is>
          <t>Matched to historical category: Vehicle expenses:Parking &amp; tolls</t>
        </is>
      </c>
    </row>
    <row r="520" ht="16" customHeight="1">
      <c r="A520" s="39" t="inlineStr">
        <is>
          <t>Total for Parking &amp; tolls</t>
        </is>
      </c>
      <c r="I520" s="70">
        <f>I515+I516+I517+I518+I519</f>
        <v/>
      </c>
    </row>
    <row r="521" ht="16" customHeight="1">
      <c r="A521" s="38" t="inlineStr">
        <is>
          <t>Vehicle registration</t>
        </is>
      </c>
    </row>
    <row r="522" ht="16" customHeight="1">
      <c r="B522" s="26" t="inlineStr">
        <is>
          <t>Beginning Balance</t>
        </is>
      </c>
      <c r="J522" s="57" t="n">
        <v>80</v>
      </c>
    </row>
    <row r="523" ht="16" customHeight="1">
      <c r="A523" s="39" t="inlineStr">
        <is>
          <t>Total for Vehicle registration</t>
        </is>
      </c>
      <c r="I523" s="70">
        <f>I521+I522</f>
        <v/>
      </c>
    </row>
    <row r="524" ht="16" customHeight="1">
      <c r="A524" s="37" t="inlineStr">
        <is>
          <t>Total for Vehicle expenses with sub-accounts</t>
        </is>
      </c>
      <c r="I524" s="70">
        <f>I520+I523</f>
        <v/>
      </c>
    </row>
    <row r="525"/>
    <row r="526"/>
    <row r="527"/>
    <row r="528" ht="16" customHeight="1">
      <c r="A528" s="40" t="inlineStr">
        <is>
          <t>Accrual Basis Thursday, September 10, 2026 03:51 PM GMT+05:30</t>
        </is>
      </c>
    </row>
  </sheetData>
  <mergeCells count="4">
    <mergeCell ref="A1:I1"/>
    <mergeCell ref="A2:I2"/>
    <mergeCell ref="A3:I3"/>
    <mergeCell ref="A528:I528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2022-03-24T08:55:57Z</dcterms:created>
  <dcterms:modified xmlns:dcterms="http://purl.org/dc/terms/" xmlns:xsi="http://www.w3.org/2001/XMLSchema-instance" xsi:type="dcterms:W3CDTF">2026-09-10T11:41:18Z</dcterms:modified>
  <cp:lastModifiedBy>Microsoft Office User</cp:lastModifiedBy>
</cp:coreProperties>
</file>